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HA EXCEL\ASHA OVERALL EXCEL .03\"/>
    </mc:Choice>
  </mc:AlternateContent>
  <xr:revisionPtr revIDLastSave="0" documentId="8_{26C88DCB-6388-46B6-8E41-0474D22A52A2}" xr6:coauthVersionLast="36" xr6:coauthVersionMax="36" xr10:uidLastSave="{00000000-0000-0000-0000-000000000000}"/>
  <bookViews>
    <workbookView xWindow="0" yWindow="0" windowWidth="28800" windowHeight="12210" xr2:uid="{692C2331-8034-4EAA-A362-5F9AF39B1040}"/>
  </bookViews>
  <sheets>
    <sheet name="DASHBOARD 2" sheetId="1" r:id="rId1"/>
  </sheets>
  <definedNames>
    <definedName name="_xlchart.v1.0" hidden="1">'DASHBOARD 2'!$J$45:$J$45</definedName>
    <definedName name="_xlchart.v1.1" hidden="1">'DASHBOARD 2'!$J$46:$J$46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8" i="1"/>
  <c r="F21" i="1"/>
  <c r="G21" i="1"/>
  <c r="H21" i="1"/>
  <c r="I21" i="1"/>
  <c r="G22" i="1"/>
  <c r="I22" i="1"/>
  <c r="G23" i="1"/>
  <c r="H23" i="1"/>
  <c r="G24" i="1"/>
  <c r="G25" i="1"/>
  <c r="H25" i="1" s="1"/>
  <c r="E26" i="1"/>
  <c r="G26" i="1"/>
  <c r="I26" i="1"/>
  <c r="E27" i="1"/>
  <c r="F27" i="1"/>
  <c r="G27" i="1"/>
  <c r="H27" i="1" s="1"/>
  <c r="I27" i="1"/>
  <c r="J27" i="1" s="1"/>
  <c r="E28" i="1"/>
  <c r="G28" i="1"/>
  <c r="I28" i="1"/>
  <c r="E29" i="1"/>
  <c r="F29" i="1" s="1"/>
  <c r="G29" i="1"/>
  <c r="H29" i="1"/>
  <c r="I29" i="1"/>
  <c r="J29" i="1"/>
  <c r="H34" i="1"/>
  <c r="E21" i="1" s="1"/>
  <c r="L34" i="1"/>
  <c r="M34" i="1"/>
  <c r="J21" i="1" s="1"/>
  <c r="H35" i="1"/>
  <c r="E22" i="1" s="1"/>
  <c r="L35" i="1"/>
  <c r="M35" i="1"/>
  <c r="H36" i="1"/>
  <c r="E23" i="1" s="1"/>
  <c r="F23" i="1" s="1"/>
  <c r="L36" i="1"/>
  <c r="I23" i="1" s="1"/>
  <c r="J23" i="1" s="1"/>
  <c r="M36" i="1"/>
  <c r="H37" i="1"/>
  <c r="E24" i="1" s="1"/>
  <c r="L37" i="1"/>
  <c r="I24" i="1" s="1"/>
  <c r="M37" i="1"/>
  <c r="H38" i="1"/>
  <c r="E25" i="1" s="1"/>
  <c r="F25" i="1" s="1"/>
  <c r="L38" i="1"/>
  <c r="I25" i="1" s="1"/>
  <c r="J25" i="1" s="1"/>
  <c r="M38" i="1"/>
  <c r="B46" i="1"/>
  <c r="E3" i="1" s="1"/>
  <c r="C46" i="1"/>
  <c r="F3" i="1" s="1"/>
  <c r="G3" i="1" s="1"/>
  <c r="E46" i="1"/>
  <c r="H3" i="1" s="1"/>
  <c r="F46" i="1"/>
  <c r="A6" i="1" s="1"/>
  <c r="G46" i="1"/>
  <c r="A10" i="1" s="1"/>
  <c r="J46" i="1"/>
  <c r="I46" i="1" l="1"/>
  <c r="H46" i="1"/>
  <c r="D46" i="1"/>
</calcChain>
</file>

<file path=xl/sharedStrings.xml><?xml version="1.0" encoding="utf-8"?>
<sst xmlns="http://schemas.openxmlformats.org/spreadsheetml/2006/main" count="55" uniqueCount="28">
  <si>
    <t>ROI</t>
  </si>
  <si>
    <t>PRE-CAMPAIGN</t>
  </si>
  <si>
    <t>CPA</t>
  </si>
  <si>
    <t>BUDGET 
vs. SPEND</t>
  </si>
  <si>
    <t>SPEND</t>
  </si>
  <si>
    <t>BUDGET</t>
  </si>
  <si>
    <t>ACQUISITIONS</t>
  </si>
  <si>
    <t>CTR</t>
  </si>
  <si>
    <t>CLICKS</t>
  </si>
  <si>
    <t>IMPRESSIONS</t>
  </si>
  <si>
    <t>OVERALL</t>
  </si>
  <si>
    <t>CAMPAIGN 5</t>
  </si>
  <si>
    <t>CAMPAIGN 4</t>
  </si>
  <si>
    <t>CAMPAIGN 3</t>
  </si>
  <si>
    <t>CAMPAIGN 2</t>
  </si>
  <si>
    <t>CAMPAIGN 1</t>
  </si>
  <si>
    <t>CAMPAIGN</t>
  </si>
  <si>
    <t>REVENUE</t>
  </si>
  <si>
    <t>CPA PER CAMPAIGN</t>
  </si>
  <si>
    <t>CPC PER CAMPAIGN</t>
  </si>
  <si>
    <t>CTR PER CAMPAIGN</t>
  </si>
  <si>
    <t>PROFIT</t>
  </si>
  <si>
    <t>TOTAL SPEND</t>
  </si>
  <si>
    <t>REVENUE GROWTH</t>
  </si>
  <si>
    <t>TOTAL BUDGET</t>
  </si>
  <si>
    <t>DATE  TODAY</t>
  </si>
  <si>
    <t>COST PER CLICK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</si>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</sst>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_(&quot;$&quot;* #,##0_);_(&quot;$&quot;* \(#,##0\);_(&quot;$&quot;* &quot;-&quot;??_);_(@_)"/>
    <numFmt numFmtId="166" formatCode="0.0%"/>
    <numFmt numFmtId="167" formatCode="&quot;$&quot;#,##0.00"/>
  </numFmts>
  <fonts count="27"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0"/>
      <name val="Poppins"/>
    </font>
    <font>
      <b/>
      <sz val="11"/>
      <color theme="1"/>
      <name val="Poppins"/>
    </font>
    <font>
      <sz val="24"/>
      <color theme="0"/>
      <name val="Eras Demi ITC"/>
      <family val="2"/>
    </font>
    <font>
      <b/>
      <sz val="11"/>
      <color theme="0"/>
      <name val="Poppins"/>
    </font>
    <font>
      <sz val="10"/>
      <name val="Arial"/>
      <family val="2"/>
    </font>
    <font>
      <b/>
      <sz val="12"/>
      <color theme="1"/>
      <name val="Poppins"/>
    </font>
    <font>
      <b/>
      <sz val="12"/>
      <color theme="1"/>
      <name val="Arial Nova"/>
      <family val="2"/>
    </font>
    <font>
      <b/>
      <sz val="16"/>
      <color rgb="FFD0E0E3"/>
      <name val="Poppins"/>
    </font>
    <font>
      <sz val="10"/>
      <color theme="0"/>
      <name val="Poppins"/>
    </font>
    <font>
      <sz val="9"/>
      <color theme="0"/>
      <name val="&quot;Google Sans Mono&quot;"/>
    </font>
    <font>
      <sz val="10"/>
      <color rgb="FFFFFFFF"/>
      <name val="Poppins"/>
    </font>
    <font>
      <sz val="16"/>
      <color theme="0"/>
      <name val="Poppins"/>
    </font>
    <font>
      <b/>
      <sz val="31"/>
      <color rgb="FFFFFFFF"/>
      <name val="Mangal"/>
      <family val="2"/>
      <scheme val="minor"/>
    </font>
    <font>
      <sz val="20"/>
      <color theme="0"/>
      <name val="Poppins"/>
    </font>
    <font>
      <b/>
      <sz val="16"/>
      <color rgb="FFB2F4B2"/>
      <name val="Poppins"/>
    </font>
    <font>
      <sz val="10"/>
      <color theme="1"/>
      <name val="Mangal"/>
      <family val="2"/>
      <scheme val="minor"/>
    </font>
    <font>
      <b/>
      <sz val="31"/>
      <color rgb="FFFFFFFF"/>
      <name val="Poppins"/>
    </font>
    <font>
      <b/>
      <sz val="14"/>
      <color rgb="FFD9EAD3"/>
      <name val="Poppins"/>
    </font>
    <font>
      <b/>
      <sz val="28"/>
      <color theme="0"/>
      <name val="Calibri"/>
      <family val="2"/>
    </font>
    <font>
      <sz val="11"/>
      <color rgb="FF99CCFF"/>
      <name val="Calibri"/>
      <family val="2"/>
    </font>
    <font>
      <b/>
      <sz val="16"/>
      <color theme="0"/>
      <name val="Calibri"/>
      <family val="2"/>
    </font>
    <font>
      <b/>
      <sz val="24"/>
      <color theme="0"/>
      <name val="Calibri"/>
      <family val="2"/>
    </font>
    <font>
      <b/>
      <sz val="13"/>
      <color rgb="FFD9EAD3"/>
      <name val="Poppins"/>
    </font>
    <font>
      <b/>
      <sz val="33"/>
      <color theme="0"/>
      <name val="Cinzel"/>
    </font>
    <font>
      <b/>
      <sz val="20"/>
      <color theme="0"/>
      <name val="Mangal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053E5B"/>
        <bgColor indexed="64"/>
      </patternFill>
    </fill>
    <fill>
      <patternFill patternType="solid">
        <fgColor rgb="FF053E5B"/>
        <bgColor rgb="FF0C343D"/>
      </patternFill>
    </fill>
    <fill>
      <patternFill patternType="solid">
        <fgColor rgb="FFB2B2B2"/>
        <bgColor indexed="64"/>
      </patternFill>
    </fill>
    <fill>
      <patternFill patternType="solid">
        <fgColor rgb="FFB2B2B2"/>
        <bgColor rgb="FFD0E0E3"/>
      </patternFill>
    </fill>
    <fill>
      <patternFill patternType="solid">
        <fgColor rgb="FF0066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34343"/>
        <bgColor rgb="FF434343"/>
      </patternFill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053E5B"/>
        <bgColor rgb="FF134F5C"/>
      </patternFill>
    </fill>
    <fill>
      <patternFill patternType="solid">
        <fgColor rgb="FF254A5D"/>
        <bgColor rgb="FF134F5C"/>
      </patternFill>
    </fill>
    <fill>
      <patternFill patternType="solid">
        <fgColor rgb="FF254A5D"/>
        <bgColor indexed="64"/>
      </patternFill>
    </fill>
    <fill>
      <patternFill patternType="solid">
        <fgColor rgb="FF87CBB4"/>
        <bgColor indexed="64"/>
      </patternFill>
    </fill>
  </fills>
  <borders count="31">
    <border>
      <left/>
      <right/>
      <top/>
      <bottom/>
      <diagonal/>
    </border>
    <border>
      <left/>
      <right style="thin">
        <color rgb="FFD9EAD3"/>
      </right>
      <top/>
      <bottom style="thin">
        <color rgb="FFD9EAD3"/>
      </bottom>
      <diagonal/>
    </border>
    <border>
      <left/>
      <right style="thin">
        <color rgb="FFBFBFBF"/>
      </right>
      <top/>
      <bottom style="thin">
        <color rgb="FFD9EAD3"/>
      </bottom>
      <diagonal/>
    </border>
    <border>
      <left style="thin">
        <color rgb="FFBFBFBF"/>
      </left>
      <right style="thin">
        <color rgb="FFBFBFBF"/>
      </right>
      <top/>
      <bottom style="thin">
        <color rgb="FFD9EAD3"/>
      </bottom>
      <diagonal/>
    </border>
    <border>
      <left style="thin">
        <color rgb="FFFFFFFF"/>
      </left>
      <right style="thin">
        <color rgb="FFD9EAD3"/>
      </right>
      <top style="thin">
        <color rgb="FFD9EAD3"/>
      </top>
      <bottom style="double">
        <color rgb="FFD9EAD3"/>
      </bottom>
      <diagonal/>
    </border>
    <border>
      <left style="thin">
        <color rgb="FFFFFFFF"/>
      </left>
      <right style="thin">
        <color rgb="FFFFFFFF"/>
      </right>
      <top style="thin">
        <color rgb="FFD9EAD3"/>
      </top>
      <bottom style="double">
        <color rgb="FFD9EAD3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/>
      <bottom style="double">
        <color rgb="FFD9EAD3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Border="1"/>
    <xf numFmtId="9" fontId="2" fillId="3" borderId="1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center"/>
    </xf>
    <xf numFmtId="10" fontId="2" fillId="3" borderId="2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Border="1"/>
    <xf numFmtId="0" fontId="1" fillId="2" borderId="6" xfId="0" applyFont="1" applyFill="1" applyBorder="1"/>
    <xf numFmtId="164" fontId="5" fillId="2" borderId="7" xfId="0" applyNumberFormat="1" applyFont="1" applyFill="1" applyBorder="1" applyAlignment="1">
      <alignment horizontal="center"/>
    </xf>
    <xf numFmtId="164" fontId="5" fillId="6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right"/>
    </xf>
    <xf numFmtId="0" fontId="5" fillId="6" borderId="7" xfId="0" applyFont="1" applyFill="1" applyBorder="1" applyAlignment="1">
      <alignment horizontal="center"/>
    </xf>
    <xf numFmtId="10" fontId="5" fillId="6" borderId="7" xfId="0" applyNumberFormat="1" applyFont="1" applyFill="1" applyBorder="1" applyAlignment="1">
      <alignment horizontal="center"/>
    </xf>
    <xf numFmtId="3" fontId="5" fillId="2" borderId="7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0" fontId="6" fillId="2" borderId="0" xfId="0" applyFont="1" applyFill="1" applyBorder="1" applyAlignment="1"/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vertical="center" wrapText="1"/>
    </xf>
    <xf numFmtId="0" fontId="9" fillId="8" borderId="7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0" fillId="9" borderId="10" xfId="0" applyFont="1" applyFill="1" applyBorder="1"/>
    <xf numFmtId="0" fontId="10" fillId="9" borderId="7" xfId="0" applyFont="1" applyFill="1" applyBorder="1"/>
    <xf numFmtId="0" fontId="10" fillId="9" borderId="11" xfId="0" applyFont="1" applyFill="1" applyBorder="1"/>
    <xf numFmtId="166" fontId="10" fillId="10" borderId="9" xfId="0" applyNumberFormat="1" applyFont="1" applyFill="1" applyBorder="1" applyAlignment="1">
      <alignment vertical="center"/>
    </xf>
    <xf numFmtId="10" fontId="10" fillId="9" borderId="9" xfId="0" applyNumberFormat="1" applyFont="1" applyFill="1" applyBorder="1" applyAlignment="1">
      <alignment horizontal="right" vertical="center"/>
    </xf>
    <xf numFmtId="10" fontId="10" fillId="10" borderId="12" xfId="0" applyNumberFormat="1" applyFont="1" applyFill="1" applyBorder="1" applyAlignment="1">
      <alignment vertical="center"/>
    </xf>
    <xf numFmtId="10" fontId="10" fillId="9" borderId="8" xfId="0" applyNumberFormat="1" applyFont="1" applyFill="1" applyBorder="1" applyAlignment="1">
      <alignment horizontal="right" vertical="center"/>
    </xf>
    <xf numFmtId="10" fontId="11" fillId="10" borderId="8" xfId="0" applyNumberFormat="1" applyFont="1" applyFill="1" applyBorder="1" applyAlignment="1"/>
    <xf numFmtId="0" fontId="12" fillId="11" borderId="0" xfId="0" applyFont="1" applyFill="1"/>
    <xf numFmtId="0" fontId="10" fillId="9" borderId="9" xfId="0" applyFont="1" applyFill="1" applyBorder="1" applyAlignment="1">
      <alignment vertical="center"/>
    </xf>
    <xf numFmtId="0" fontId="10" fillId="9" borderId="8" xfId="0" applyFont="1" applyFill="1" applyBorder="1" applyAlignment="1">
      <alignment vertical="center"/>
    </xf>
    <xf numFmtId="10" fontId="10" fillId="9" borderId="13" xfId="0" applyNumberFormat="1" applyFont="1" applyFill="1" applyBorder="1" applyAlignment="1">
      <alignment horizontal="right" vertical="center"/>
    </xf>
    <xf numFmtId="0" fontId="0" fillId="2" borderId="0" xfId="0" applyFill="1" applyAlignment="1"/>
    <xf numFmtId="166" fontId="10" fillId="10" borderId="10" xfId="0" applyNumberFormat="1" applyFont="1" applyFill="1" applyBorder="1" applyAlignment="1">
      <alignment vertical="center"/>
    </xf>
    <xf numFmtId="10" fontId="10" fillId="9" borderId="10" xfId="0" applyNumberFormat="1" applyFont="1" applyFill="1" applyBorder="1" applyAlignment="1">
      <alignment horizontal="right" vertical="center"/>
    </xf>
    <xf numFmtId="10" fontId="10" fillId="10" borderId="10" xfId="0" applyNumberFormat="1" applyFont="1" applyFill="1" applyBorder="1" applyAlignment="1">
      <alignment vertical="center"/>
    </xf>
    <xf numFmtId="10" fontId="10" fillId="9" borderId="7" xfId="0" applyNumberFormat="1" applyFont="1" applyFill="1" applyBorder="1" applyAlignment="1">
      <alignment horizontal="right" vertical="center"/>
    </xf>
    <xf numFmtId="10" fontId="11" fillId="10" borderId="7" xfId="0" applyNumberFormat="1" applyFont="1" applyFill="1" applyBorder="1" applyAlignment="1"/>
    <xf numFmtId="0" fontId="0" fillId="2" borderId="12" xfId="0" applyFill="1" applyBorder="1"/>
    <xf numFmtId="0" fontId="10" fillId="9" borderId="10" xfId="0" applyFont="1" applyFill="1" applyBorder="1" applyAlignment="1">
      <alignment vertical="center"/>
    </xf>
    <xf numFmtId="0" fontId="10" fillId="9" borderId="7" xfId="0" applyFont="1" applyFill="1" applyBorder="1" applyAlignment="1">
      <alignment vertical="center"/>
    </xf>
    <xf numFmtId="166" fontId="10" fillId="10" borderId="12" xfId="0" applyNumberFormat="1" applyFont="1" applyFill="1" applyBorder="1" applyAlignment="1">
      <alignment vertical="center"/>
    </xf>
    <xf numFmtId="10" fontId="10" fillId="9" borderId="12" xfId="0" applyNumberFormat="1" applyFont="1" applyFill="1" applyBorder="1" applyAlignment="1">
      <alignment horizontal="right" vertical="center"/>
    </xf>
    <xf numFmtId="10" fontId="11" fillId="10" borderId="13" xfId="0" applyNumberFormat="1" applyFont="1" applyFill="1" applyBorder="1" applyAlignment="1"/>
    <xf numFmtId="166" fontId="10" fillId="10" borderId="14" xfId="0" applyNumberFormat="1" applyFont="1" applyFill="1" applyBorder="1" applyAlignment="1">
      <alignment vertical="center"/>
    </xf>
    <xf numFmtId="10" fontId="10" fillId="9" borderId="14" xfId="0" applyNumberFormat="1" applyFont="1" applyFill="1" applyBorder="1" applyAlignment="1">
      <alignment horizontal="right" vertical="center"/>
    </xf>
    <xf numFmtId="10" fontId="10" fillId="10" borderId="14" xfId="0" applyNumberFormat="1" applyFont="1" applyFill="1" applyBorder="1" applyAlignment="1">
      <alignment vertical="center"/>
    </xf>
    <xf numFmtId="10" fontId="10" fillId="9" borderId="15" xfId="0" applyNumberFormat="1" applyFont="1" applyFill="1" applyBorder="1" applyAlignment="1">
      <alignment horizontal="right" vertical="center"/>
    </xf>
    <xf numFmtId="10" fontId="11" fillId="10" borderId="15" xfId="0" applyNumberFormat="1" applyFont="1" applyFill="1" applyBorder="1" applyAlignment="1"/>
    <xf numFmtId="0" fontId="10" fillId="9" borderId="12" xfId="0" applyFont="1" applyFill="1" applyBorder="1" applyAlignment="1">
      <alignment vertical="center"/>
    </xf>
    <xf numFmtId="0" fontId="10" fillId="9" borderId="13" xfId="0" applyFont="1" applyFill="1" applyBorder="1" applyAlignment="1">
      <alignment vertical="center"/>
    </xf>
    <xf numFmtId="0" fontId="12" fillId="11" borderId="14" xfId="0" applyFont="1" applyFill="1" applyBorder="1"/>
    <xf numFmtId="0" fontId="10" fillId="9" borderId="10" xfId="0" applyFont="1" applyFill="1" applyBorder="1" applyAlignment="1"/>
    <xf numFmtId="0" fontId="13" fillId="9" borderId="15" xfId="0" applyFont="1" applyFill="1" applyBorder="1" applyAlignment="1">
      <alignment horizontal="center" vertical="center"/>
    </xf>
    <xf numFmtId="164" fontId="14" fillId="12" borderId="16" xfId="0" applyNumberFormat="1" applyFont="1" applyFill="1" applyBorder="1" applyAlignment="1">
      <alignment vertical="center"/>
    </xf>
    <xf numFmtId="0" fontId="0" fillId="13" borderId="16" xfId="0" applyFill="1" applyBorder="1"/>
    <xf numFmtId="0" fontId="0" fillId="13" borderId="17" xfId="0" applyFill="1" applyBorder="1"/>
    <xf numFmtId="0" fontId="12" fillId="11" borderId="0" xfId="0" applyFont="1" applyFill="1" applyBorder="1"/>
    <xf numFmtId="0" fontId="0" fillId="2" borderId="0" xfId="0" applyFill="1" applyBorder="1" applyAlignment="1"/>
    <xf numFmtId="0" fontId="15" fillId="9" borderId="18" xfId="0" applyFont="1" applyFill="1" applyBorder="1" applyAlignment="1">
      <alignment horizontal="center" vertical="center"/>
    </xf>
    <xf numFmtId="0" fontId="15" fillId="9" borderId="19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/>
    </xf>
    <xf numFmtId="164" fontId="14" fillId="12" borderId="0" xfId="0" applyNumberFormat="1" applyFont="1" applyFill="1" applyBorder="1" applyAlignment="1">
      <alignment vertical="center"/>
    </xf>
    <xf numFmtId="0" fontId="0" fillId="13" borderId="0" xfId="0" applyFill="1" applyBorder="1"/>
    <xf numFmtId="0" fontId="0" fillId="13" borderId="23" xfId="0" applyFill="1" applyBorder="1"/>
    <xf numFmtId="0" fontId="15" fillId="9" borderId="24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5" fillId="9" borderId="27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0" fontId="0" fillId="0" borderId="0" xfId="0"/>
    <xf numFmtId="0" fontId="17" fillId="12" borderId="12" xfId="0" applyFont="1" applyFill="1" applyBorder="1" applyAlignment="1">
      <alignment horizontal="center" vertical="center"/>
    </xf>
    <xf numFmtId="164" fontId="18" fillId="12" borderId="12" xfId="0" applyNumberFormat="1" applyFont="1" applyFill="1" applyBorder="1" applyAlignment="1">
      <alignment vertical="center"/>
    </xf>
    <xf numFmtId="164" fontId="18" fillId="9" borderId="0" xfId="0" applyNumberFormat="1" applyFont="1" applyFill="1" applyAlignment="1">
      <alignment horizontal="center" vertical="center"/>
    </xf>
    <xf numFmtId="0" fontId="6" fillId="0" borderId="29" xfId="0" applyFont="1" applyBorder="1"/>
    <xf numFmtId="0" fontId="19" fillId="9" borderId="0" xfId="0" applyFont="1" applyFill="1" applyAlignment="1">
      <alignment horizontal="center" vertical="center"/>
    </xf>
    <xf numFmtId="0" fontId="1" fillId="2" borderId="7" xfId="0" applyFont="1" applyFill="1" applyBorder="1"/>
    <xf numFmtId="0" fontId="20" fillId="13" borderId="12" xfId="0" applyFont="1" applyFill="1" applyBorder="1" applyAlignment="1">
      <alignment horizontal="center"/>
    </xf>
    <xf numFmtId="0" fontId="20" fillId="13" borderId="0" xfId="0" applyFont="1" applyFill="1" applyBorder="1" applyAlignment="1">
      <alignment horizontal="center"/>
    </xf>
    <xf numFmtId="164" fontId="20" fillId="13" borderId="23" xfId="0" applyNumberFormat="1" applyFont="1" applyFill="1" applyBorder="1" applyAlignment="1">
      <alignment horizontal="center"/>
    </xf>
    <xf numFmtId="0" fontId="21" fillId="13" borderId="12" xfId="0" applyFont="1" applyFill="1" applyBorder="1" applyAlignment="1">
      <alignment horizontal="center"/>
    </xf>
    <xf numFmtId="0" fontId="21" fillId="13" borderId="0" xfId="0" applyFont="1" applyFill="1" applyBorder="1" applyAlignment="1">
      <alignment horizontal="center"/>
    </xf>
    <xf numFmtId="0" fontId="21" fillId="13" borderId="23" xfId="0" applyFont="1" applyFill="1" applyBorder="1" applyAlignment="1">
      <alignment horizontal="center"/>
    </xf>
    <xf numFmtId="0" fontId="22" fillId="13" borderId="12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18" fillId="9" borderId="0" xfId="0" applyFont="1" applyFill="1" applyAlignment="1">
      <alignment horizontal="center" vertical="center"/>
    </xf>
    <xf numFmtId="0" fontId="23" fillId="2" borderId="0" xfId="0" applyFont="1" applyFill="1"/>
    <xf numFmtId="0" fontId="20" fillId="13" borderId="12" xfId="0" applyFont="1" applyFill="1" applyBorder="1" applyAlignment="1">
      <alignment horizontal="center" vertical="center"/>
    </xf>
    <xf numFmtId="0" fontId="20" fillId="13" borderId="0" xfId="0" applyFont="1" applyFill="1" applyBorder="1" applyAlignment="1">
      <alignment horizontal="center" vertical="center"/>
    </xf>
    <xf numFmtId="164" fontId="20" fillId="13" borderId="23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1" fillId="13" borderId="12" xfId="0" applyFont="1" applyFill="1" applyBorder="1" applyAlignment="1">
      <alignment horizontal="center"/>
    </xf>
    <xf numFmtId="0" fontId="1" fillId="13" borderId="0" xfId="0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/>
    </xf>
    <xf numFmtId="0" fontId="23" fillId="2" borderId="0" xfId="0" applyFont="1" applyFill="1" applyBorder="1" applyAlignment="1">
      <alignment horizontal="center"/>
    </xf>
    <xf numFmtId="14" fontId="23" fillId="2" borderId="0" xfId="0" applyNumberFormat="1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0" fontId="22" fillId="13" borderId="6" xfId="0" applyFont="1" applyFill="1" applyBorder="1" applyAlignment="1">
      <alignment horizontal="center"/>
    </xf>
    <xf numFmtId="0" fontId="22" fillId="13" borderId="30" xfId="0" applyFont="1" applyFill="1" applyBorder="1" applyAlignment="1">
      <alignment horizontal="center"/>
    </xf>
    <xf numFmtId="3" fontId="23" fillId="2" borderId="7" xfId="0" applyNumberFormat="1" applyFont="1" applyFill="1" applyBorder="1" applyAlignment="1">
      <alignment horizontal="center" vertical="center"/>
    </xf>
    <xf numFmtId="167" fontId="23" fillId="2" borderId="7" xfId="0" applyNumberFormat="1" applyFont="1" applyFill="1" applyBorder="1" applyAlignment="1">
      <alignment horizontal="center" vertical="center"/>
    </xf>
    <xf numFmtId="0" fontId="24" fillId="9" borderId="7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top"/>
    </xf>
    <xf numFmtId="0" fontId="25" fillId="14" borderId="0" xfId="0" applyFont="1" applyFill="1" applyAlignment="1">
      <alignment horizontal="center" vertical="center"/>
    </xf>
    <xf numFmtId="0" fontId="1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7CBB4"/>
      <color rgb="FF111B0B"/>
      <color rgb="FF3856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BUDGET</a:t>
            </a:r>
            <a:r>
              <a:rPr lang="en-IN" baseline="0">
                <a:solidFill>
                  <a:schemeClr val="bg1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 VS SPEND</a:t>
            </a:r>
            <a:endParaRPr lang="en-IN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37709797769532"/>
          <c:y val="0.17171296296296298"/>
          <c:w val="0.84797156102613613"/>
          <c:h val="0.614984324876057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'DASHBOARD 2'!$J$33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B1DCF9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32D-4C60-BEF0-A7B4B6AC4D33}"/>
              </c:ext>
            </c:extLst>
          </c:dPt>
          <c:dPt>
            <c:idx val="1"/>
            <c:invertIfNegative val="0"/>
            <c:bubble3D val="0"/>
            <c:spPr>
              <a:solidFill>
                <a:srgbClr val="B1DCF9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232D-4C60-BEF0-A7B4B6AC4D33}"/>
              </c:ext>
            </c:extLst>
          </c:dPt>
          <c:dPt>
            <c:idx val="2"/>
            <c:invertIfNegative val="0"/>
            <c:bubble3D val="0"/>
            <c:spPr>
              <a:solidFill>
                <a:srgbClr val="B1DCF9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232D-4C60-BEF0-A7B4B6AC4D33}"/>
              </c:ext>
            </c:extLst>
          </c:dPt>
          <c:dPt>
            <c:idx val="3"/>
            <c:invertIfNegative val="0"/>
            <c:bubble3D val="0"/>
            <c:spPr>
              <a:solidFill>
                <a:srgbClr val="B1DCF9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232D-4C60-BEF0-A7B4B6AC4D33}"/>
              </c:ext>
            </c:extLst>
          </c:dPt>
          <c:dPt>
            <c:idx val="4"/>
            <c:invertIfNegative val="0"/>
            <c:bubble3D val="0"/>
            <c:spPr>
              <a:solidFill>
                <a:srgbClr val="B1DCF9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232D-4C60-BEF0-A7B4B6AC4D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'DASHBOARD 2'!$J$34:$J$38</c:f>
              <c:numCache>
                <c:formatCode>"$"#,##0</c:formatCode>
                <c:ptCount val="5"/>
                <c:pt idx="0">
                  <c:v>25000</c:v>
                </c:pt>
                <c:pt idx="1">
                  <c:v>30000</c:v>
                </c:pt>
                <c:pt idx="2">
                  <c:v>50000</c:v>
                </c:pt>
                <c:pt idx="3">
                  <c:v>45000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2D-4C60-BEF0-A7B4B6AC4D33}"/>
            </c:ext>
          </c:extLst>
        </c:ser>
        <c:ser>
          <c:idx val="1"/>
          <c:order val="1"/>
          <c:tx>
            <c:strRef>
              <c:f>'DASHBOARD 2'!$K$33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'DASHBOARD 2'!$K$34:$K$38</c:f>
              <c:numCache>
                <c:formatCode>"$"#,##0</c:formatCode>
                <c:ptCount val="5"/>
                <c:pt idx="0">
                  <c:v>23661</c:v>
                </c:pt>
                <c:pt idx="1">
                  <c:v>21882</c:v>
                </c:pt>
                <c:pt idx="2">
                  <c:v>22076</c:v>
                </c:pt>
                <c:pt idx="3">
                  <c:v>57823</c:v>
                </c:pt>
                <c:pt idx="4">
                  <c:v>62484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32D-4C60-BEF0-A7B4B6AC4D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8062976"/>
        <c:axId val="550464480"/>
        <c:axId val="0"/>
      </c:bar3DChart>
      <c:catAx>
        <c:axId val="508062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550464480"/>
        <c:crosses val="autoZero"/>
        <c:auto val="1"/>
        <c:lblAlgn val="ctr"/>
        <c:lblOffset val="100"/>
        <c:noMultiLvlLbl val="0"/>
      </c:catAx>
      <c:valAx>
        <c:axId val="5504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50806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14679232929601"/>
          <c:y val="1.5262219368597693E-2"/>
          <c:w val="0.73581598014443383"/>
          <c:h val="0.9035159242665726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B1DCF9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997-4F7F-9870-E138F00A9E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2'!$F$45:$G$45</c:f>
              <c:strCache>
                <c:ptCount val="2"/>
                <c:pt idx="0">
                  <c:v>BUDGET</c:v>
                </c:pt>
                <c:pt idx="1">
                  <c:v>SPEND</c:v>
                </c:pt>
              </c:strCache>
            </c:strRef>
          </c:cat>
          <c:val>
            <c:numRef>
              <c:f>'DASHBOARD 2'!$F$46:$G$46</c:f>
              <c:numCache>
                <c:formatCode>"$"#,##0</c:formatCode>
                <c:ptCount val="2"/>
                <c:pt idx="0">
                  <c:v>200000</c:v>
                </c:pt>
                <c:pt idx="1">
                  <c:v>187926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97-4F7F-9870-E138F00A9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0505728"/>
        <c:axId val="564264496"/>
        <c:axId val="0"/>
      </c:bar3DChart>
      <c:catAx>
        <c:axId val="7305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564264496"/>
        <c:crosses val="autoZero"/>
        <c:auto val="1"/>
        <c:lblAlgn val="ctr"/>
        <c:lblOffset val="100"/>
        <c:noMultiLvlLbl val="0"/>
      </c:catAx>
      <c:valAx>
        <c:axId val="56426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Arial CE MT Black" panose="00000102000000010000" pitchFamily="2" charset="-18"/>
                <a:ea typeface="+mn-ea"/>
                <a:cs typeface="+mn-cs"/>
              </a:defRPr>
            </a:pPr>
            <a:endParaRPr lang="hi-IN"/>
          </a:p>
        </c:txPr>
        <c:crossAx val="73050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808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size">
        <cx:f dir="row">_xlchart.v1.1</cx:f>
      </cx:numDim>
    </cx:data>
  </cx:chartData>
  <cx:chart>
    <cx:title pos="t" align="ctr" overlay="0">
      <cx:tx>
        <cx:txData>
          <cx:v>PRE &amp; PO9ST CAMPAIGN 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PRE &amp; PO9ST CAMPAIGN REVENUE</a:t>
          </a:r>
        </a:p>
      </cx:txPr>
    </cx:title>
    <cx:plotArea>
      <cx:plotAreaRegion>
        <cx:plotSurface>
          <cx:spPr>
            <a:solidFill>
              <a:srgbClr val="006666"/>
            </a:solidFill>
          </cx:spPr>
        </cx:plotSurface>
        <cx:series layoutId="sunburst" uniqueId="{AF8858E2-9782-4EEA-8A61-AFE889AEF8F3}">
          <cx:spPr>
            <a:solidFill>
              <a:srgbClr val="B1DCF9"/>
            </a:solidFill>
          </cx:spPr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0"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bg1"/>
              </a:solidFill>
            </a:defRPr>
          </a:pPr>
          <a:endParaRPr lang="en-US" sz="900" b="1" i="0" u="none" strike="noStrike" baseline="0">
            <a:solidFill>
              <a:schemeClr val="bg1"/>
            </a:solidFill>
            <a:latin typeface="Calibri" panose="020F0502020204030204"/>
          </a:endParaRPr>
        </a:p>
      </cx:txPr>
    </cx:legend>
  </cx:chart>
  <cx:spPr>
    <a:solidFill>
      <a:srgbClr val="006666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3</xdr:row>
      <xdr:rowOff>161924</xdr:rowOff>
    </xdr:from>
    <xdr:to>
      <xdr:col>6</xdr:col>
      <xdr:colOff>1152525</xdr:colOff>
      <xdr:row>14</xdr:row>
      <xdr:rowOff>99219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0E501-8F78-4FE8-91A9-CDFB74B5F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1495424</xdr:colOff>
      <xdr:row>3</xdr:row>
      <xdr:rowOff>180974</xdr:rowOff>
    </xdr:from>
    <xdr:to>
      <xdr:col>8</xdr:col>
      <xdr:colOff>2406854</xdr:colOff>
      <xdr:row>14</xdr:row>
      <xdr:rowOff>99218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C65E572-3F3A-4D95-A2E7-AFF76D7F28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199" y="752474"/>
              <a:ext cx="1216230" cy="20137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i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365125</xdr:colOff>
      <xdr:row>20</xdr:row>
      <xdr:rowOff>201214</xdr:rowOff>
    </xdr:from>
    <xdr:to>
      <xdr:col>3</xdr:col>
      <xdr:colOff>946150</xdr:colOff>
      <xdr:row>38</xdr:row>
      <xdr:rowOff>17860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EA9EEC-02A4-44DB-A497-0B164FD29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238124</xdr:colOff>
      <xdr:row>4</xdr:row>
      <xdr:rowOff>85726</xdr:rowOff>
    </xdr:from>
    <xdr:to>
      <xdr:col>3</xdr:col>
      <xdr:colOff>1162049</xdr:colOff>
      <xdr:row>4</xdr:row>
      <xdr:rowOff>217170</xdr:rowOff>
    </xdr:to>
    <xdr:sp macro="" textlink="">
      <xdr:nvSpPr>
        <xdr:cNvPr id="5" name="Minus Sign 4">
          <a:extLst>
            <a:ext uri="{FF2B5EF4-FFF2-40B4-BE49-F238E27FC236}">
              <a16:creationId xmlns:a16="http://schemas.microsoft.com/office/drawing/2014/main" id="{85006D23-4135-4EC8-BA7F-72ADDC973437}"/>
            </a:ext>
          </a:extLst>
        </xdr:cNvPr>
        <xdr:cNvSpPr/>
      </xdr:nvSpPr>
      <xdr:spPr>
        <a:xfrm>
          <a:off x="238124" y="847726"/>
          <a:ext cx="2200275" cy="102869"/>
        </a:xfrm>
        <a:prstGeom prst="mathMinus">
          <a:avLst/>
        </a:prstGeom>
        <a:solidFill>
          <a:schemeClr val="bg1"/>
        </a:solidFill>
        <a:ln>
          <a:solidFill>
            <a:srgbClr val="00808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i-IN" sz="1100"/>
        </a:p>
      </xdr:txBody>
    </xdr:sp>
    <xdr:clientData/>
  </xdr:twoCellAnchor>
  <xdr:twoCellAnchor>
    <xdr:from>
      <xdr:col>0</xdr:col>
      <xdr:colOff>342900</xdr:colOff>
      <xdr:row>8</xdr:row>
      <xdr:rowOff>38100</xdr:rowOff>
    </xdr:from>
    <xdr:to>
      <xdr:col>3</xdr:col>
      <xdr:colOff>1066800</xdr:colOff>
      <xdr:row>8</xdr:row>
      <xdr:rowOff>142876</xdr:rowOff>
    </xdr:to>
    <xdr:sp macro="" textlink="">
      <xdr:nvSpPr>
        <xdr:cNvPr id="6" name="Minus Sign 5">
          <a:extLst>
            <a:ext uri="{FF2B5EF4-FFF2-40B4-BE49-F238E27FC236}">
              <a16:creationId xmlns:a16="http://schemas.microsoft.com/office/drawing/2014/main" id="{85305A30-B6EA-41A3-AC29-D2D48CF52605}"/>
            </a:ext>
          </a:extLst>
        </xdr:cNvPr>
        <xdr:cNvSpPr/>
      </xdr:nvSpPr>
      <xdr:spPr>
        <a:xfrm>
          <a:off x="342900" y="1562100"/>
          <a:ext cx="2095500" cy="104776"/>
        </a:xfrm>
        <a:prstGeom prst="mathMinus">
          <a:avLst/>
        </a:prstGeom>
        <a:solidFill>
          <a:srgbClr val="99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i-IN" sz="1100">
            <a:solidFill>
              <a:srgbClr val="008080"/>
            </a:solidFill>
          </a:endParaRPr>
        </a:p>
      </xdr:txBody>
    </xdr:sp>
    <xdr:clientData/>
  </xdr:twoCellAnchor>
  <xdr:twoCellAnchor>
    <xdr:from>
      <xdr:col>8</xdr:col>
      <xdr:colOff>2332936</xdr:colOff>
      <xdr:row>2</xdr:row>
      <xdr:rowOff>165653</xdr:rowOff>
    </xdr:from>
    <xdr:to>
      <xdr:col>10</xdr:col>
      <xdr:colOff>303696</xdr:colOff>
      <xdr:row>2</xdr:row>
      <xdr:rowOff>220870</xdr:rowOff>
    </xdr:to>
    <xdr:sp macro="" textlink="">
      <xdr:nvSpPr>
        <xdr:cNvPr id="7" name="Minus Sign 6">
          <a:extLst>
            <a:ext uri="{FF2B5EF4-FFF2-40B4-BE49-F238E27FC236}">
              <a16:creationId xmlns:a16="http://schemas.microsoft.com/office/drawing/2014/main" id="{170F904A-469D-485A-A372-A7C3857EFB6A}"/>
            </a:ext>
          </a:extLst>
        </xdr:cNvPr>
        <xdr:cNvSpPr/>
      </xdr:nvSpPr>
      <xdr:spPr>
        <a:xfrm>
          <a:off x="5485711" y="546653"/>
          <a:ext cx="913985" cy="26642"/>
        </a:xfrm>
        <a:prstGeom prst="mathMinus">
          <a:avLst/>
        </a:prstGeom>
        <a:solidFill>
          <a:schemeClr val="bg1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hi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5A00-33DD-49FC-8C03-19E17B8E0B20}">
  <dimension ref="A1:AC64"/>
  <sheetViews>
    <sheetView tabSelected="1" topLeftCell="A10" zoomScale="87" zoomScaleNormal="87" workbookViewId="0">
      <selection activeCell="E33" sqref="E33"/>
    </sheetView>
  </sheetViews>
  <sheetFormatPr defaultRowHeight="15"/>
  <cols>
    <col min="1" max="1" width="23.42578125" bestFit="1" customWidth="1"/>
    <col min="2" max="2" width="12.85546875" customWidth="1"/>
    <col min="4" max="4" width="19.7109375" customWidth="1"/>
    <col min="5" max="5" width="26.42578125" customWidth="1"/>
    <col min="6" max="6" width="35.42578125" customWidth="1"/>
    <col min="7" max="7" width="40.140625" bestFit="1" customWidth="1"/>
    <col min="8" max="8" width="19.7109375" bestFit="1" customWidth="1"/>
    <col min="9" max="9" width="39.7109375" customWidth="1"/>
    <col min="10" max="10" width="33" bestFit="1" customWidth="1"/>
    <col min="11" max="11" width="31.85546875" customWidth="1"/>
    <col min="12" max="12" width="13.5703125" bestFit="1" customWidth="1"/>
    <col min="13" max="13" width="7.42578125" bestFit="1" customWidth="1"/>
    <col min="14" max="14" width="11.140625" bestFit="1" customWidth="1"/>
    <col min="15" max="15" width="26.5703125" customWidth="1"/>
    <col min="16" max="16" width="15.140625" customWidth="1"/>
    <col min="18" max="18" width="9.28515625" bestFit="1" customWidth="1"/>
  </cols>
  <sheetData>
    <row r="1" spans="1:29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</row>
    <row r="2" spans="1:29" ht="42.75">
      <c r="A2" s="118" t="s">
        <v>27</v>
      </c>
      <c r="B2" s="119"/>
      <c r="C2" s="119"/>
      <c r="D2" s="119"/>
      <c r="E2" s="116" t="s">
        <v>9</v>
      </c>
      <c r="F2" s="116" t="s">
        <v>8</v>
      </c>
      <c r="G2" s="116" t="s">
        <v>26</v>
      </c>
      <c r="H2" s="116" t="s">
        <v>6</v>
      </c>
      <c r="I2" s="1"/>
      <c r="J2" s="117" t="s">
        <v>25</v>
      </c>
      <c r="K2" s="43"/>
      <c r="L2" s="43"/>
      <c r="M2" s="43"/>
      <c r="N2" s="43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</row>
    <row r="3" spans="1:29" ht="31.5" customHeight="1">
      <c r="A3" s="2"/>
      <c r="B3" s="2"/>
      <c r="C3" s="2"/>
      <c r="D3" s="2"/>
      <c r="E3" s="114">
        <f>B46</f>
        <v>724077</v>
      </c>
      <c r="F3" s="114">
        <f>C46</f>
        <v>195151</v>
      </c>
      <c r="G3" s="115">
        <f>F3</f>
        <v>195151</v>
      </c>
      <c r="H3" s="114">
        <f>E46</f>
        <v>284</v>
      </c>
      <c r="I3" s="1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</row>
    <row r="4" spans="1:29" ht="31.5" customHeight="1">
      <c r="A4" s="113" t="s">
        <v>24</v>
      </c>
      <c r="B4" s="112"/>
      <c r="C4" s="112"/>
      <c r="D4" s="111"/>
      <c r="E4" s="2"/>
      <c r="F4" s="109"/>
      <c r="G4" s="109"/>
      <c r="H4" s="109"/>
      <c r="I4" s="109"/>
      <c r="J4" s="110">
        <f ca="1">TODAY()</f>
        <v>46092</v>
      </c>
      <c r="K4" s="109"/>
      <c r="L4" s="109"/>
      <c r="M4" s="109"/>
      <c r="N4" s="109"/>
      <c r="O4" s="2"/>
      <c r="P4" s="2"/>
      <c r="Q4" s="2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</row>
    <row r="5" spans="1:29" ht="31.5">
      <c r="A5" s="108"/>
      <c r="B5" s="107"/>
      <c r="C5" s="107"/>
      <c r="D5" s="106"/>
      <c r="E5" s="2"/>
      <c r="F5" s="105"/>
      <c r="G5" s="105"/>
      <c r="H5" s="105"/>
      <c r="I5" s="1"/>
      <c r="J5" s="89" t="s">
        <v>23</v>
      </c>
      <c r="K5" s="105"/>
      <c r="L5" s="105"/>
      <c r="M5" s="105"/>
      <c r="N5" s="105"/>
      <c r="O5" s="2"/>
      <c r="P5" s="2"/>
      <c r="Q5" s="2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</row>
    <row r="6" spans="1:29" ht="32.25" customHeight="1" thickBot="1">
      <c r="A6" s="104">
        <f>F46</f>
        <v>200000</v>
      </c>
      <c r="B6" s="103"/>
      <c r="C6" s="103"/>
      <c r="D6" s="102"/>
      <c r="E6" s="2"/>
      <c r="F6" s="101"/>
      <c r="G6" s="101"/>
      <c r="H6" s="101"/>
      <c r="I6" s="1"/>
      <c r="J6" s="88"/>
      <c r="K6" s="101"/>
      <c r="L6" s="101"/>
      <c r="M6" s="101"/>
      <c r="N6" s="101"/>
      <c r="O6" s="1"/>
      <c r="P6" s="1"/>
      <c r="Q6" s="1"/>
      <c r="R6" s="2"/>
      <c r="S6" s="2"/>
      <c r="T6" s="2"/>
      <c r="U6" s="2"/>
      <c r="V6" s="1"/>
      <c r="W6" s="1"/>
      <c r="X6" s="1"/>
      <c r="Y6" s="1"/>
      <c r="Z6" s="1"/>
      <c r="AA6" s="1"/>
      <c r="AB6" s="1"/>
      <c r="AC6" s="1"/>
    </row>
    <row r="7" spans="1:29" ht="8.25" customHeight="1" thickTop="1">
      <c r="A7" s="77"/>
      <c r="B7" s="76"/>
      <c r="C7" s="76"/>
      <c r="D7" s="86"/>
      <c r="E7" s="2"/>
      <c r="F7" s="2"/>
      <c r="G7" s="2"/>
      <c r="H7" s="2"/>
      <c r="I7" s="1"/>
      <c r="J7" s="100"/>
      <c r="K7" s="2"/>
      <c r="L7" s="2"/>
      <c r="M7" s="2"/>
      <c r="N7" s="2"/>
      <c r="O7" s="1"/>
      <c r="P7" s="1"/>
      <c r="Q7" s="1"/>
      <c r="R7" s="2"/>
      <c r="S7" s="2"/>
      <c r="T7" s="2"/>
      <c r="U7" s="2"/>
      <c r="V7" s="1"/>
      <c r="W7" s="1"/>
      <c r="X7" s="1"/>
      <c r="Y7" s="1"/>
      <c r="Z7" s="1"/>
      <c r="AA7" s="1"/>
      <c r="AB7" s="1"/>
      <c r="AC7" s="1"/>
    </row>
    <row r="8" spans="1:29" ht="27" customHeight="1">
      <c r="A8" s="99" t="s">
        <v>22</v>
      </c>
      <c r="B8" s="98"/>
      <c r="C8" s="98"/>
      <c r="D8" s="97"/>
      <c r="E8" s="2"/>
      <c r="F8" s="2"/>
      <c r="G8" s="2"/>
      <c r="H8" s="2"/>
      <c r="I8" s="1"/>
      <c r="J8" s="87">
        <f>SUM(J34:J38)</f>
        <v>200000</v>
      </c>
      <c r="K8" s="2"/>
      <c r="L8" s="2"/>
      <c r="M8" s="2"/>
      <c r="N8" s="2"/>
      <c r="O8" s="1"/>
      <c r="P8" s="1"/>
      <c r="Q8" s="1"/>
      <c r="R8" s="2"/>
      <c r="S8" s="2"/>
      <c r="T8" s="2"/>
      <c r="U8" s="2"/>
      <c r="V8" s="1"/>
      <c r="W8" s="1"/>
      <c r="X8" s="1"/>
      <c r="Y8" s="1"/>
      <c r="Z8" s="1"/>
      <c r="AA8" s="1"/>
      <c r="AB8" s="1"/>
      <c r="AC8" s="1"/>
    </row>
    <row r="9" spans="1:29" ht="19.5" customHeight="1">
      <c r="A9" s="96"/>
      <c r="B9" s="95"/>
      <c r="C9" s="95"/>
      <c r="D9" s="94"/>
      <c r="E9" s="2"/>
      <c r="F9" s="2"/>
      <c r="G9" s="2"/>
      <c r="H9" s="2"/>
      <c r="I9" s="1"/>
      <c r="J9" s="84"/>
      <c r="K9" s="2"/>
      <c r="L9" s="2"/>
      <c r="M9" s="2"/>
      <c r="N9" s="2"/>
      <c r="O9" s="1"/>
      <c r="P9" s="1"/>
      <c r="Q9" s="1"/>
      <c r="R9" s="2"/>
      <c r="S9" s="2"/>
      <c r="T9" s="2"/>
      <c r="U9" s="2"/>
      <c r="V9" s="1"/>
      <c r="W9" s="1"/>
      <c r="X9" s="1"/>
      <c r="Y9" s="1"/>
      <c r="Z9" s="1"/>
      <c r="AA9" s="1"/>
      <c r="AB9" s="1"/>
      <c r="AC9" s="1"/>
    </row>
    <row r="10" spans="1:29" ht="30.75" customHeight="1">
      <c r="A10" s="93">
        <f>G46</f>
        <v>187926</v>
      </c>
      <c r="B10" s="92"/>
      <c r="C10" s="92"/>
      <c r="D10" s="91"/>
      <c r="E10" s="2"/>
      <c r="F10" s="2"/>
      <c r="G10" s="2"/>
      <c r="H10" s="2"/>
      <c r="I10" s="1"/>
      <c r="J10" s="84"/>
      <c r="K10" s="2"/>
      <c r="L10" s="90"/>
      <c r="M10" s="2"/>
      <c r="N10" s="2"/>
      <c r="O10" s="1"/>
      <c r="P10" s="1"/>
      <c r="Q10" s="1"/>
      <c r="R10" s="2"/>
      <c r="S10" s="2"/>
      <c r="T10" s="2"/>
      <c r="U10" s="2"/>
      <c r="V10" s="1"/>
      <c r="W10" s="1"/>
      <c r="X10" s="1"/>
      <c r="Y10" s="1"/>
      <c r="Z10" s="1"/>
      <c r="AA10" s="1"/>
      <c r="AB10" s="1"/>
      <c r="AC10" s="1"/>
    </row>
    <row r="11" spans="1:29" ht="30.75">
      <c r="A11" s="77"/>
      <c r="B11" s="76"/>
      <c r="C11" s="76"/>
      <c r="D11" s="83"/>
      <c r="E11" s="2"/>
      <c r="F11" s="2"/>
      <c r="G11" s="2"/>
      <c r="H11" s="2"/>
      <c r="I11" s="1"/>
      <c r="J11" s="89" t="s">
        <v>21</v>
      </c>
      <c r="K11" s="2"/>
      <c r="L11" s="2"/>
      <c r="M11" s="2"/>
      <c r="N11" s="2"/>
      <c r="O11" s="1"/>
      <c r="P11" s="1"/>
      <c r="Q11" s="1"/>
      <c r="R11" s="2"/>
      <c r="S11" s="2"/>
      <c r="T11" s="2"/>
      <c r="U11" s="2"/>
      <c r="V11" s="1"/>
      <c r="W11" s="1"/>
      <c r="X11" s="1"/>
      <c r="Y11" s="1"/>
      <c r="Z11" s="1"/>
      <c r="AA11" s="1"/>
      <c r="AB11" s="1"/>
      <c r="AC11" s="1"/>
    </row>
    <row r="12" spans="1:29" ht="15.75" customHeight="1" thickBot="1">
      <c r="A12" s="77"/>
      <c r="B12" s="76"/>
      <c r="C12" s="76"/>
      <c r="D12" s="86"/>
      <c r="E12" s="2"/>
      <c r="F12" s="2"/>
      <c r="G12" s="2"/>
      <c r="H12" s="2"/>
      <c r="I12" s="1"/>
      <c r="J12" s="88"/>
      <c r="K12" s="2"/>
      <c r="L12" s="2"/>
      <c r="M12" s="2"/>
      <c r="N12" s="2"/>
      <c r="O12" s="1"/>
      <c r="P12" s="1"/>
      <c r="Q12" s="1"/>
      <c r="R12" s="2"/>
      <c r="S12" s="2"/>
      <c r="T12" s="2"/>
      <c r="U12" s="2"/>
      <c r="V12" s="1"/>
      <c r="W12" s="1"/>
      <c r="X12" s="1"/>
      <c r="Y12" s="1"/>
      <c r="Z12" s="1"/>
      <c r="AA12" s="1"/>
      <c r="AB12" s="1"/>
      <c r="AC12" s="1"/>
    </row>
    <row r="13" spans="1:29" ht="15" customHeight="1" thickTop="1">
      <c r="A13" s="77"/>
      <c r="B13" s="76"/>
      <c r="C13" s="76"/>
      <c r="D13" s="86"/>
      <c r="E13" s="2"/>
      <c r="F13" s="2"/>
      <c r="G13" s="2"/>
      <c r="H13" s="2"/>
      <c r="I13" s="1"/>
      <c r="J13" s="87"/>
      <c r="K13" s="2"/>
      <c r="L13" s="2"/>
      <c r="M13" s="2"/>
      <c r="N13" s="2"/>
      <c r="O13" s="1"/>
      <c r="P13" s="1"/>
      <c r="Q13" s="1"/>
      <c r="R13" s="2"/>
      <c r="S13" s="2"/>
      <c r="T13" s="2"/>
      <c r="U13" s="2"/>
      <c r="V13" s="1"/>
      <c r="W13" s="1"/>
      <c r="X13" s="1"/>
      <c r="Y13" s="1"/>
      <c r="Z13" s="1"/>
      <c r="AA13" s="1"/>
      <c r="AB13" s="1"/>
      <c r="AC13" s="1"/>
    </row>
    <row r="14" spans="1:29" ht="15" customHeight="1">
      <c r="A14" s="77"/>
      <c r="B14" s="76"/>
      <c r="C14" s="76"/>
      <c r="D14" s="86"/>
      <c r="E14" s="2"/>
      <c r="F14" s="2"/>
      <c r="G14" s="2"/>
      <c r="H14" s="2"/>
      <c r="I14" s="1"/>
      <c r="J14" s="84"/>
      <c r="K14" s="2"/>
      <c r="L14" s="2"/>
      <c r="M14" s="2"/>
      <c r="N14" s="2"/>
      <c r="O14" s="1"/>
      <c r="P14" s="1"/>
      <c r="Q14" s="1"/>
      <c r="R14" s="2"/>
      <c r="S14" s="2"/>
      <c r="T14" s="2"/>
      <c r="U14" s="2"/>
      <c r="V14" s="1"/>
      <c r="W14" s="1"/>
      <c r="X14" s="1"/>
      <c r="Y14" s="1"/>
      <c r="Z14" s="1"/>
      <c r="AA14" s="1"/>
      <c r="AB14" s="1"/>
      <c r="AC14" s="1"/>
    </row>
    <row r="15" spans="1:29" ht="21">
      <c r="A15" s="77"/>
      <c r="B15" s="76"/>
      <c r="C15" s="76"/>
      <c r="D15" s="85"/>
      <c r="E15" s="2"/>
      <c r="F15" s="2"/>
      <c r="G15" s="2"/>
      <c r="H15" s="2"/>
      <c r="I15" s="1"/>
      <c r="J15" s="84"/>
      <c r="K15" s="2"/>
      <c r="L15" s="2"/>
      <c r="M15" s="2"/>
      <c r="N15" s="2"/>
      <c r="O15" s="1"/>
      <c r="P15" s="1"/>
      <c r="Q15" s="1"/>
      <c r="R15" s="2"/>
      <c r="S15" s="2"/>
      <c r="T15" s="2"/>
      <c r="U15" s="2"/>
      <c r="V15" s="1"/>
      <c r="W15" s="1"/>
      <c r="X15" s="1"/>
      <c r="Y15" s="1"/>
      <c r="Z15" s="1"/>
      <c r="AA15" s="1"/>
      <c r="AB15" s="1"/>
      <c r="AC15" s="1"/>
    </row>
    <row r="16" spans="1:29" ht="30.75" customHeight="1">
      <c r="A16" s="77"/>
      <c r="B16" s="76"/>
      <c r="C16" s="76"/>
      <c r="D16" s="83"/>
      <c r="E16" s="1"/>
      <c r="F16" s="1"/>
      <c r="G16" s="1"/>
      <c r="H16" s="1"/>
      <c r="I16" s="1"/>
      <c r="J16" s="1"/>
      <c r="K16" s="1"/>
      <c r="L16" s="43"/>
      <c r="M16" s="43"/>
      <c r="N16" s="43"/>
      <c r="O16" s="1"/>
      <c r="P16" s="1"/>
      <c r="Q16" s="1"/>
      <c r="R16" s="2"/>
      <c r="S16" s="2"/>
      <c r="T16" s="2"/>
      <c r="U16" s="2"/>
      <c r="V16" s="1"/>
      <c r="W16" s="1"/>
      <c r="X16" s="1"/>
      <c r="Y16" s="1"/>
      <c r="Z16" s="1"/>
      <c r="AA16" s="1"/>
      <c r="AB16" s="1"/>
      <c r="AC16" s="1"/>
    </row>
    <row r="17" spans="1:29" ht="30.75">
      <c r="A17" s="77"/>
      <c r="B17" s="76"/>
      <c r="C17" s="76"/>
      <c r="D17" s="83"/>
      <c r="E17" s="1"/>
      <c r="F17" s="1"/>
      <c r="G17" s="1"/>
      <c r="H17" s="1"/>
      <c r="I17" s="1"/>
      <c r="J17" s="1"/>
      <c r="K17" s="23"/>
      <c r="L17" s="23"/>
      <c r="M17" s="23"/>
      <c r="N17" s="23"/>
      <c r="O17" s="1"/>
      <c r="P17" s="1"/>
      <c r="Q17" s="1"/>
      <c r="R17" s="2"/>
      <c r="S17" s="2"/>
      <c r="T17" s="2"/>
      <c r="U17" s="2"/>
      <c r="V17" s="1"/>
      <c r="W17" s="1"/>
      <c r="X17" s="1"/>
      <c r="Y17" s="1"/>
      <c r="Z17" s="1"/>
      <c r="AA17" s="1"/>
      <c r="AB17" s="1"/>
      <c r="AC17" s="1"/>
    </row>
    <row r="18" spans="1:29" ht="15.75" customHeight="1">
      <c r="A18" s="77"/>
      <c r="B18" s="76"/>
      <c r="C18" s="76"/>
      <c r="D18" s="75"/>
      <c r="E18" s="81" t="s">
        <v>20</v>
      </c>
      <c r="F18" s="82"/>
      <c r="G18" s="81" t="s">
        <v>19</v>
      </c>
      <c r="H18" s="80"/>
      <c r="I18" s="79" t="s">
        <v>18</v>
      </c>
      <c r="J18" s="78"/>
      <c r="K18" s="3"/>
      <c r="L18" s="3"/>
      <c r="M18" s="69"/>
      <c r="N18" s="68"/>
      <c r="O18" s="3"/>
      <c r="P18" s="1"/>
      <c r="Q18" s="1"/>
      <c r="R18" s="1"/>
      <c r="S18" s="1"/>
      <c r="T18" s="2"/>
      <c r="U18" s="2"/>
      <c r="V18" s="1"/>
      <c r="W18" s="1"/>
      <c r="X18" s="1"/>
      <c r="Y18" s="1"/>
      <c r="Z18" s="1"/>
      <c r="AA18" s="1"/>
      <c r="AB18" s="1"/>
      <c r="AC18" s="1"/>
    </row>
    <row r="19" spans="1:29" ht="15" customHeight="1">
      <c r="A19" s="77"/>
      <c r="B19" s="76"/>
      <c r="C19" s="76"/>
      <c r="D19" s="75"/>
      <c r="E19" s="73"/>
      <c r="F19" s="74"/>
      <c r="G19" s="73"/>
      <c r="H19" s="72"/>
      <c r="I19" s="71"/>
      <c r="J19" s="70"/>
      <c r="K19" s="3"/>
      <c r="L19" s="3"/>
      <c r="M19" s="69"/>
      <c r="N19" s="68"/>
      <c r="O19" s="3"/>
      <c r="P19" s="1"/>
      <c r="Q19" s="1"/>
      <c r="R19" s="1"/>
      <c r="S19" s="1"/>
      <c r="T19" s="2"/>
      <c r="U19" s="2"/>
      <c r="V19" s="1"/>
      <c r="W19" s="1"/>
      <c r="X19" s="1"/>
      <c r="Y19" s="1"/>
      <c r="Z19" s="1"/>
      <c r="AA19" s="1"/>
      <c r="AB19" s="1"/>
      <c r="AC19" s="1"/>
    </row>
    <row r="20" spans="1:29" ht="15" customHeight="1">
      <c r="A20" s="67"/>
      <c r="B20" s="66"/>
      <c r="C20" s="66"/>
      <c r="D20" s="65"/>
      <c r="E20" s="64"/>
      <c r="F20" s="51" t="s">
        <v>15</v>
      </c>
      <c r="G20" s="32"/>
      <c r="H20" s="50" t="s">
        <v>15</v>
      </c>
      <c r="I20" s="63"/>
      <c r="J20" s="51" t="s">
        <v>15</v>
      </c>
      <c r="K20" s="3"/>
      <c r="L20" s="1"/>
      <c r="M20" s="43"/>
      <c r="N20" s="39"/>
      <c r="O20" s="1"/>
      <c r="P20" s="1"/>
      <c r="Q20" s="1"/>
      <c r="R20" s="1"/>
      <c r="S20" s="1"/>
      <c r="T20" s="2"/>
      <c r="U20" s="2"/>
      <c r="V20" s="1"/>
      <c r="W20" s="1"/>
      <c r="X20" s="1"/>
      <c r="Y20" s="1"/>
      <c r="Z20" s="1"/>
      <c r="AA20" s="1"/>
      <c r="AB20" s="1"/>
      <c r="AC20" s="1"/>
    </row>
    <row r="21" spans="1:29" ht="19.5">
      <c r="A21" s="1"/>
      <c r="B21" s="1"/>
      <c r="C21" s="1"/>
      <c r="D21" s="62"/>
      <c r="E21" s="42">
        <f>H34</f>
        <v>0.33506331067306677</v>
      </c>
      <c r="F21" s="47">
        <f>I34</f>
        <v>63</v>
      </c>
      <c r="G21" s="42">
        <f>J34</f>
        <v>25000</v>
      </c>
      <c r="H21" s="47">
        <f>K34</f>
        <v>23661</v>
      </c>
      <c r="I21" s="45">
        <f>L34</f>
        <v>-1339</v>
      </c>
      <c r="J21" s="47">
        <f>M34</f>
        <v>375.57142857142856</v>
      </c>
      <c r="K21" s="3"/>
      <c r="L21" s="1"/>
      <c r="M21" s="43"/>
      <c r="N21" s="39"/>
      <c r="O21" s="1"/>
      <c r="P21" s="1"/>
      <c r="Q21" s="1"/>
      <c r="R21" s="1"/>
      <c r="S21" s="1"/>
      <c r="T21" s="2"/>
      <c r="U21" s="2"/>
      <c r="V21" s="1"/>
      <c r="W21" s="1"/>
      <c r="X21" s="1"/>
      <c r="Y21" s="1"/>
      <c r="Z21" s="1"/>
      <c r="AA21" s="1"/>
      <c r="AB21" s="1"/>
      <c r="AC21" s="1"/>
    </row>
    <row r="22" spans="1:29" ht="19.5">
      <c r="A22" s="2"/>
      <c r="B22" s="2"/>
      <c r="C22" s="2"/>
      <c r="D22" s="49"/>
      <c r="E22" s="42">
        <f>H35</f>
        <v>0.881313239123938</v>
      </c>
      <c r="F22" s="61" t="s">
        <v>14</v>
      </c>
      <c r="G22" s="42">
        <f>J35</f>
        <v>30000</v>
      </c>
      <c r="H22" s="41" t="s">
        <v>14</v>
      </c>
      <c r="I22" s="53">
        <f>L35</f>
        <v>-8118</v>
      </c>
      <c r="J22" s="60" t="s">
        <v>14</v>
      </c>
      <c r="K22" s="1"/>
      <c r="L22" s="1"/>
      <c r="M22" s="43"/>
      <c r="N22" s="39"/>
      <c r="O22" s="1"/>
      <c r="P22" s="1"/>
      <c r="Q22" s="1"/>
      <c r="R22" s="1"/>
      <c r="S22" s="1"/>
      <c r="T22" s="2"/>
      <c r="U22" s="2"/>
      <c r="V22" s="1"/>
      <c r="W22" s="1"/>
      <c r="X22" s="1"/>
      <c r="Y22" s="1"/>
      <c r="Z22" s="1"/>
      <c r="AA22" s="1"/>
      <c r="AB22" s="1"/>
      <c r="AC22" s="1"/>
    </row>
    <row r="23" spans="1:29" ht="19.5">
      <c r="A23" s="2"/>
      <c r="B23" s="2"/>
      <c r="C23" s="2"/>
      <c r="D23" s="49"/>
      <c r="E23" s="42">
        <f>H36</f>
        <v>0.22068772068772069</v>
      </c>
      <c r="F23" s="59">
        <f>E23</f>
        <v>0.22068772068772069</v>
      </c>
      <c r="G23" s="58">
        <f>J36</f>
        <v>50000</v>
      </c>
      <c r="H23" s="57">
        <f>G23</f>
        <v>50000</v>
      </c>
      <c r="I23" s="56">
        <f>L36</f>
        <v>-27924</v>
      </c>
      <c r="J23" s="55">
        <f>I23</f>
        <v>-27924</v>
      </c>
      <c r="K23" s="1"/>
      <c r="L23" s="1"/>
      <c r="M23" s="43"/>
      <c r="N23" s="39"/>
      <c r="O23" s="1"/>
      <c r="P23" s="1"/>
      <c r="Q23" s="1"/>
      <c r="R23" s="1"/>
      <c r="S23" s="1"/>
      <c r="T23" s="2"/>
      <c r="U23" s="2"/>
      <c r="V23" s="1"/>
      <c r="W23" s="1"/>
      <c r="X23" s="1"/>
      <c r="Y23" s="1"/>
      <c r="Z23" s="1"/>
      <c r="AA23" s="1"/>
      <c r="AB23" s="1"/>
      <c r="AC23" s="1"/>
    </row>
    <row r="24" spans="1:29" ht="19.5">
      <c r="A24" s="2"/>
      <c r="B24" s="2"/>
      <c r="C24" s="2"/>
      <c r="D24" s="30"/>
      <c r="E24" s="42">
        <f>H37</f>
        <v>0.46752935058701173</v>
      </c>
      <c r="F24" s="51" t="s">
        <v>13</v>
      </c>
      <c r="G24" s="47">
        <f>J37</f>
        <v>45000</v>
      </c>
      <c r="H24" s="50" t="s">
        <v>13</v>
      </c>
      <c r="I24" s="45">
        <f>L37</f>
        <v>12823</v>
      </c>
      <c r="J24" s="50" t="s">
        <v>13</v>
      </c>
      <c r="K24" s="1"/>
      <c r="L24" s="1"/>
      <c r="M24" s="43"/>
      <c r="N24" s="39"/>
      <c r="O24" s="1"/>
      <c r="P24" s="1"/>
      <c r="Q24" s="1"/>
      <c r="R24" s="1"/>
      <c r="S24" s="1"/>
      <c r="T24" s="2"/>
      <c r="U24" s="2"/>
      <c r="V24" s="1"/>
      <c r="W24" s="1"/>
      <c r="X24" s="1"/>
      <c r="Y24" s="1"/>
      <c r="Z24" s="1"/>
      <c r="AA24" s="1"/>
      <c r="AB24" s="1"/>
      <c r="AC24" s="1"/>
    </row>
    <row r="25" spans="1:29" ht="19.5">
      <c r="A25" s="2"/>
      <c r="B25" s="2"/>
      <c r="C25" s="2"/>
      <c r="D25" s="30"/>
      <c r="E25" s="42">
        <f>H38</f>
        <v>0.1676914916606094</v>
      </c>
      <c r="F25" s="54">
        <f>E25</f>
        <v>0.1676914916606094</v>
      </c>
      <c r="G25" s="42">
        <f>J38</f>
        <v>50000</v>
      </c>
      <c r="H25" s="36">
        <f>G25</f>
        <v>50000</v>
      </c>
      <c r="I25" s="53">
        <f>L38</f>
        <v>12484</v>
      </c>
      <c r="J25" s="52">
        <f>I25</f>
        <v>12484</v>
      </c>
      <c r="K25" s="1"/>
      <c r="L25" s="1"/>
      <c r="M25" s="43"/>
      <c r="N25" s="39"/>
      <c r="O25" s="1"/>
      <c r="P25" s="1"/>
      <c r="Q25" s="1"/>
      <c r="R25" s="1"/>
      <c r="S25" s="1"/>
      <c r="T25" s="2"/>
      <c r="U25" s="2"/>
      <c r="V25" s="1"/>
      <c r="W25" s="1"/>
      <c r="X25" s="1"/>
      <c r="Y25" s="1"/>
      <c r="Z25" s="1"/>
      <c r="AA25" s="1"/>
      <c r="AB25" s="1"/>
      <c r="AC25" s="1"/>
    </row>
    <row r="26" spans="1:29" ht="19.5">
      <c r="A26" s="2"/>
      <c r="B26" s="2"/>
      <c r="C26" s="2"/>
      <c r="D26" s="49"/>
      <c r="E26" s="42">
        <f>H39</f>
        <v>0</v>
      </c>
      <c r="F26" s="51" t="s">
        <v>12</v>
      </c>
      <c r="G26" s="47">
        <f>J39</f>
        <v>0</v>
      </c>
      <c r="H26" s="50" t="s">
        <v>12</v>
      </c>
      <c r="I26" s="45">
        <f>L39</f>
        <v>0</v>
      </c>
      <c r="J26" s="50" t="s">
        <v>12</v>
      </c>
      <c r="K26" s="1"/>
      <c r="L26" s="1"/>
      <c r="M26" s="43"/>
      <c r="N26" s="39"/>
      <c r="O26" s="1"/>
      <c r="P26" s="1"/>
      <c r="Q26" s="1"/>
      <c r="R26" s="1"/>
      <c r="S26" s="1"/>
      <c r="T26" s="2"/>
      <c r="U26" s="2"/>
      <c r="V26" s="1"/>
      <c r="W26" s="1"/>
      <c r="X26" s="1"/>
      <c r="Y26" s="1"/>
      <c r="Z26" s="1"/>
      <c r="AA26" s="1"/>
      <c r="AB26" s="1"/>
      <c r="AC26" s="1"/>
    </row>
    <row r="27" spans="1:29" ht="19.5">
      <c r="A27" s="2"/>
      <c r="B27" s="2"/>
      <c r="C27" s="2"/>
      <c r="D27" s="49"/>
      <c r="E27" s="42">
        <f>H40</f>
        <v>0</v>
      </c>
      <c r="F27" s="48">
        <f>E27</f>
        <v>0</v>
      </c>
      <c r="G27" s="47">
        <f>J40</f>
        <v>0</v>
      </c>
      <c r="H27" s="46">
        <f>G27</f>
        <v>0</v>
      </c>
      <c r="I27" s="45">
        <f>L40</f>
        <v>0</v>
      </c>
      <c r="J27" s="44">
        <f>I27</f>
        <v>0</v>
      </c>
      <c r="K27" s="1"/>
      <c r="L27" s="1"/>
      <c r="M27" s="43"/>
      <c r="N27" s="39"/>
      <c r="O27" s="1"/>
      <c r="P27" s="1"/>
      <c r="Q27" s="1"/>
      <c r="R27" s="1"/>
      <c r="S27" s="1"/>
      <c r="T27" s="2"/>
      <c r="U27" s="2"/>
      <c r="V27" s="1"/>
      <c r="W27" s="1"/>
      <c r="X27" s="1"/>
      <c r="Y27" s="1"/>
      <c r="Z27" s="1"/>
      <c r="AA27" s="1"/>
      <c r="AB27" s="1"/>
      <c r="AC27" s="1"/>
    </row>
    <row r="28" spans="1:29" ht="19.5">
      <c r="A28" s="2"/>
      <c r="B28" s="2"/>
      <c r="C28" s="2"/>
      <c r="D28" s="30"/>
      <c r="E28" s="42">
        <f>H41</f>
        <v>0</v>
      </c>
      <c r="F28" s="41" t="s">
        <v>11</v>
      </c>
      <c r="G28" s="37">
        <f>J41</f>
        <v>0</v>
      </c>
      <c r="H28" s="40" t="s">
        <v>11</v>
      </c>
      <c r="I28" s="35">
        <f>L41</f>
        <v>0</v>
      </c>
      <c r="J28" s="40" t="s">
        <v>11</v>
      </c>
      <c r="K28" s="1"/>
      <c r="L28" s="1"/>
      <c r="M28" s="39"/>
      <c r="N28" s="39"/>
      <c r="O28" s="1"/>
      <c r="P28" s="1"/>
      <c r="Q28" s="1"/>
      <c r="R28" s="1"/>
      <c r="S28" s="2"/>
      <c r="T28" s="2"/>
      <c r="U28" s="2"/>
      <c r="V28" s="1"/>
      <c r="W28" s="1"/>
      <c r="X28" s="1"/>
      <c r="Y28" s="1"/>
      <c r="Z28" s="1"/>
      <c r="AA28" s="1"/>
      <c r="AB28" s="1"/>
      <c r="AC28" s="1"/>
    </row>
    <row r="29" spans="1:29" ht="19.5">
      <c r="A29" s="2"/>
      <c r="B29" s="2"/>
      <c r="C29" s="2"/>
      <c r="D29" s="30"/>
      <c r="E29" s="37">
        <f>H42</f>
        <v>0</v>
      </c>
      <c r="F29" s="38">
        <f>E29</f>
        <v>0</v>
      </c>
      <c r="G29" s="37">
        <f>J42</f>
        <v>0</v>
      </c>
      <c r="H29" s="36">
        <f>G29</f>
        <v>0</v>
      </c>
      <c r="I29" s="35">
        <f>L42</f>
        <v>0</v>
      </c>
      <c r="J29" s="34">
        <f>I29</f>
        <v>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"/>
      <c r="W29" s="1"/>
      <c r="X29" s="1"/>
      <c r="Y29" s="1"/>
      <c r="Z29" s="1"/>
      <c r="AA29" s="1"/>
      <c r="AB29" s="1"/>
      <c r="AC29" s="1"/>
    </row>
    <row r="30" spans="1:29" ht="19.5">
      <c r="A30" s="2"/>
      <c r="B30" s="2"/>
      <c r="C30" s="2"/>
      <c r="D30" s="2"/>
      <c r="E30" s="32"/>
      <c r="F30" s="33"/>
      <c r="G30" s="32"/>
      <c r="H30" s="31"/>
      <c r="I30" s="31"/>
      <c r="J30" s="3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1"/>
      <c r="W30" s="1"/>
      <c r="X30" s="1"/>
      <c r="Y30" s="1"/>
      <c r="Z30" s="1"/>
      <c r="AA30" s="1"/>
      <c r="AB30" s="1"/>
      <c r="AC30" s="1"/>
    </row>
    <row r="31" spans="1:29">
      <c r="A31" s="2"/>
      <c r="B31" s="2"/>
      <c r="C31" s="2"/>
      <c r="D31" s="2"/>
      <c r="E31" s="14"/>
      <c r="F31" s="14"/>
      <c r="G31" s="14"/>
      <c r="H31" s="14"/>
      <c r="I31" s="14"/>
      <c r="J31" s="1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1"/>
      <c r="W31" s="1"/>
      <c r="X31" s="1"/>
      <c r="Y31" s="1"/>
      <c r="Z31" s="1"/>
      <c r="AA31" s="1"/>
      <c r="AB31" s="1"/>
      <c r="AC31" s="1"/>
    </row>
    <row r="32" spans="1:29" ht="30.75">
      <c r="A32" s="2"/>
      <c r="B32" s="2"/>
      <c r="C32" s="2"/>
      <c r="D32" s="30"/>
      <c r="E32" s="29"/>
      <c r="F32" s="29"/>
      <c r="G32" s="29"/>
      <c r="H32" s="29"/>
      <c r="I32" s="28"/>
      <c r="J32" s="27" t="s">
        <v>17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1"/>
      <c r="W32" s="1"/>
      <c r="X32" s="1"/>
      <c r="Y32" s="1"/>
      <c r="Z32" s="1"/>
      <c r="AA32" s="1"/>
      <c r="AB32" s="1"/>
      <c r="AC32" s="1"/>
    </row>
    <row r="33" spans="1:29" ht="78.75" customHeight="1">
      <c r="A33" s="2"/>
      <c r="B33" s="2"/>
      <c r="C33" s="2"/>
      <c r="D33" s="14"/>
      <c r="E33" s="26" t="s">
        <v>16</v>
      </c>
      <c r="F33" s="25" t="s">
        <v>9</v>
      </c>
      <c r="G33" s="25" t="s">
        <v>8</v>
      </c>
      <c r="H33" s="25" t="s">
        <v>7</v>
      </c>
      <c r="I33" s="25" t="s">
        <v>6</v>
      </c>
      <c r="J33" s="24" t="s">
        <v>5</v>
      </c>
      <c r="K33" s="24" t="s">
        <v>4</v>
      </c>
      <c r="L33" s="24" t="s">
        <v>3</v>
      </c>
      <c r="M33" s="24" t="s">
        <v>2</v>
      </c>
      <c r="N33" s="24" t="s">
        <v>1</v>
      </c>
      <c r="O33" s="23"/>
      <c r="P33" s="3"/>
      <c r="Q33" s="3"/>
      <c r="R33" s="23"/>
      <c r="S33" s="23"/>
      <c r="T33" s="3"/>
      <c r="U33" s="2"/>
      <c r="V33" s="1"/>
      <c r="W33" s="1"/>
      <c r="X33" s="1"/>
      <c r="Y33" s="1"/>
      <c r="Z33" s="1"/>
      <c r="AA33" s="1"/>
      <c r="AB33" s="1"/>
      <c r="AC33" s="1"/>
    </row>
    <row r="34" spans="1:29" ht="21.75">
      <c r="A34" s="2"/>
      <c r="B34" s="2"/>
      <c r="C34" s="2"/>
      <c r="D34" s="2"/>
      <c r="E34" s="22" t="s">
        <v>15</v>
      </c>
      <c r="F34" s="21">
        <v>123123</v>
      </c>
      <c r="G34" s="21">
        <v>41254</v>
      </c>
      <c r="H34" s="20">
        <f>IFERROR(G34/F34,"0")</f>
        <v>0.33506331067306677</v>
      </c>
      <c r="I34" s="19">
        <v>63</v>
      </c>
      <c r="J34" s="16">
        <v>25000</v>
      </c>
      <c r="K34" s="16">
        <v>23661</v>
      </c>
      <c r="L34" s="18">
        <f>K34-J34</f>
        <v>-1339</v>
      </c>
      <c r="M34" s="17">
        <f>IFERROR(K34/I34,"0")</f>
        <v>375.57142857142856</v>
      </c>
      <c r="N34" s="16">
        <v>50000</v>
      </c>
      <c r="O34" s="1"/>
      <c r="P34" s="1"/>
      <c r="Q34" s="1"/>
      <c r="R34" s="1"/>
      <c r="S34" s="1"/>
      <c r="T34" s="2"/>
      <c r="U34" s="2"/>
      <c r="V34" s="1"/>
      <c r="W34" s="1"/>
      <c r="X34" s="1"/>
      <c r="Y34" s="1"/>
      <c r="Z34" s="1"/>
      <c r="AA34" s="1"/>
      <c r="AB34" s="1"/>
      <c r="AC34" s="1"/>
    </row>
    <row r="35" spans="1:29" ht="21.75">
      <c r="A35" s="2"/>
      <c r="B35" s="2"/>
      <c r="C35" s="2"/>
      <c r="D35" s="2"/>
      <c r="E35" s="22" t="s">
        <v>14</v>
      </c>
      <c r="F35" s="21">
        <v>23423</v>
      </c>
      <c r="G35" s="21">
        <v>20643</v>
      </c>
      <c r="H35" s="20">
        <f>IFERROR(G35/F35,"0")</f>
        <v>0.881313239123938</v>
      </c>
      <c r="I35" s="19">
        <v>28</v>
      </c>
      <c r="J35" s="16">
        <v>30000</v>
      </c>
      <c r="K35" s="16">
        <v>21882</v>
      </c>
      <c r="L35" s="18">
        <f>K35-J35</f>
        <v>-8118</v>
      </c>
      <c r="M35" s="17">
        <f>IFERROR(K35/I35,"0")</f>
        <v>781.5</v>
      </c>
      <c r="N35" s="16">
        <v>60000</v>
      </c>
      <c r="O35" s="1"/>
      <c r="P35" s="1"/>
      <c r="Q35" s="1"/>
      <c r="R35" s="1"/>
      <c r="S35" s="1"/>
      <c r="T35" s="2"/>
      <c r="U35" s="2"/>
      <c r="V35" s="1"/>
      <c r="W35" s="1"/>
      <c r="X35" s="1"/>
      <c r="Y35" s="1"/>
      <c r="Z35" s="1"/>
      <c r="AA35" s="1"/>
      <c r="AB35" s="1"/>
      <c r="AC35" s="1"/>
    </row>
    <row r="36" spans="1:29" ht="21.75">
      <c r="A36" s="2"/>
      <c r="B36" s="2"/>
      <c r="C36" s="2"/>
      <c r="D36" s="2"/>
      <c r="E36" s="22" t="s">
        <v>13</v>
      </c>
      <c r="F36" s="21">
        <v>121212</v>
      </c>
      <c r="G36" s="21">
        <v>26750</v>
      </c>
      <c r="H36" s="20">
        <f>IFERROR(G36/F36,"0")</f>
        <v>0.22068772068772069</v>
      </c>
      <c r="I36" s="19">
        <v>41</v>
      </c>
      <c r="J36" s="16">
        <v>50000</v>
      </c>
      <c r="K36" s="16">
        <v>22076</v>
      </c>
      <c r="L36" s="18">
        <f>K36-J36</f>
        <v>-27924</v>
      </c>
      <c r="M36" s="17">
        <f>IFERROR(K36/I36,"0")</f>
        <v>538.43902439024396</v>
      </c>
      <c r="N36" s="16">
        <v>88000</v>
      </c>
      <c r="O36" s="1"/>
      <c r="P36" s="1"/>
      <c r="Q36" s="1"/>
      <c r="R36" s="1"/>
      <c r="S36" s="1"/>
      <c r="T36" s="2"/>
      <c r="U36" s="2"/>
      <c r="V36" s="1"/>
      <c r="W36" s="1"/>
      <c r="X36" s="1"/>
      <c r="Y36" s="1"/>
      <c r="Z36" s="1"/>
      <c r="AA36" s="1"/>
      <c r="AB36" s="1"/>
      <c r="AC36" s="1"/>
    </row>
    <row r="37" spans="1:29" ht="21.75">
      <c r="A37" s="2"/>
      <c r="B37" s="2"/>
      <c r="C37" s="2"/>
      <c r="D37" s="2"/>
      <c r="E37" s="22" t="s">
        <v>12</v>
      </c>
      <c r="F37" s="21">
        <v>99998</v>
      </c>
      <c r="G37" s="21">
        <v>46752</v>
      </c>
      <c r="H37" s="20">
        <f>IFERROR(G37/F37,"0")</f>
        <v>0.46752935058701173</v>
      </c>
      <c r="I37" s="19">
        <v>59</v>
      </c>
      <c r="J37" s="16">
        <v>45000</v>
      </c>
      <c r="K37" s="16">
        <v>57823</v>
      </c>
      <c r="L37" s="18">
        <f>K37-J37</f>
        <v>12823</v>
      </c>
      <c r="M37" s="17">
        <f>IFERROR(K37/I37,"0")</f>
        <v>980.05084745762713</v>
      </c>
      <c r="N37" s="16">
        <v>67000</v>
      </c>
      <c r="O37" s="1"/>
      <c r="P37" s="1"/>
      <c r="Q37" s="1"/>
      <c r="R37" s="1"/>
      <c r="S37" s="1"/>
      <c r="T37" s="2"/>
      <c r="U37" s="2"/>
      <c r="V37" s="1"/>
      <c r="W37" s="1"/>
      <c r="X37" s="1"/>
      <c r="Y37" s="1"/>
      <c r="Z37" s="1"/>
      <c r="AA37" s="1"/>
      <c r="AB37" s="1"/>
      <c r="AC37" s="1"/>
    </row>
    <row r="38" spans="1:29" ht="21.75">
      <c r="A38" s="2"/>
      <c r="B38" s="2"/>
      <c r="C38" s="2"/>
      <c r="D38" s="2"/>
      <c r="E38" s="22" t="s">
        <v>11</v>
      </c>
      <c r="F38" s="21">
        <v>356321</v>
      </c>
      <c r="G38" s="21">
        <v>59752</v>
      </c>
      <c r="H38" s="20">
        <f>IFERROR(G38/F38,"0")</f>
        <v>0.1676914916606094</v>
      </c>
      <c r="I38" s="19">
        <v>93</v>
      </c>
      <c r="J38" s="16">
        <v>50000</v>
      </c>
      <c r="K38" s="16">
        <v>62484</v>
      </c>
      <c r="L38" s="18">
        <f>K38-J38</f>
        <v>12484</v>
      </c>
      <c r="M38" s="17">
        <f>IFERROR(K38/I38,"0")</f>
        <v>671.87096774193549</v>
      </c>
      <c r="N38" s="16">
        <v>89000</v>
      </c>
      <c r="O38" s="1"/>
      <c r="P38" s="1"/>
      <c r="Q38" s="1"/>
      <c r="R38" s="1"/>
      <c r="S38" s="1"/>
      <c r="T38" s="2"/>
      <c r="U38" s="2"/>
      <c r="V38" s="1"/>
      <c r="W38" s="1"/>
      <c r="X38" s="1"/>
      <c r="Y38" s="1"/>
      <c r="Z38" s="1"/>
      <c r="AA38" s="1"/>
      <c r="AB38" s="1"/>
      <c r="AC38" s="1"/>
    </row>
    <row r="39" spans="1:29">
      <c r="A39" s="2"/>
      <c r="B39" s="2"/>
      <c r="C39" s="2"/>
      <c r="D39" s="2"/>
      <c r="E39" s="2"/>
      <c r="F39" s="2"/>
      <c r="G39" s="2"/>
      <c r="H39" s="2"/>
      <c r="I39" s="2"/>
      <c r="J39" s="15"/>
      <c r="K39" s="2"/>
      <c r="L39" s="2"/>
      <c r="M39" s="2"/>
      <c r="N39" s="2"/>
      <c r="O39" s="1"/>
      <c r="P39" s="1"/>
      <c r="Q39" s="1"/>
      <c r="R39" s="1"/>
      <c r="S39" s="1"/>
      <c r="T39" s="2"/>
      <c r="U39" s="2"/>
      <c r="V39" s="1"/>
      <c r="W39" s="1"/>
      <c r="X39" s="1"/>
      <c r="Y39" s="1"/>
      <c r="Z39" s="1"/>
      <c r="AA39" s="1"/>
      <c r="AB39" s="1"/>
      <c r="AC39" s="1"/>
    </row>
    <row r="40" spans="1:29">
      <c r="A40" s="2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2"/>
      <c r="U40" s="2"/>
      <c r="V40" s="1"/>
      <c r="W40" s="1"/>
      <c r="X40" s="1"/>
      <c r="Y40" s="1"/>
      <c r="Z40" s="1"/>
      <c r="AA40" s="1"/>
      <c r="AB40" s="1"/>
      <c r="AC40" s="1"/>
    </row>
    <row r="41" spans="1:29">
      <c r="A41" s="2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2"/>
      <c r="U41" s="2"/>
      <c r="V41" s="1"/>
      <c r="W41" s="1"/>
      <c r="X41" s="1"/>
      <c r="Y41" s="1"/>
      <c r="Z41" s="1"/>
      <c r="AA41" s="1"/>
      <c r="AB41" s="1"/>
      <c r="AC41" s="1"/>
    </row>
    <row r="42" spans="1:2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2"/>
      <c r="B43" s="2"/>
      <c r="C43" s="2"/>
      <c r="D43" s="2"/>
      <c r="E43" s="2"/>
      <c r="F43" s="2"/>
      <c r="G43" s="2"/>
      <c r="H43" s="2"/>
      <c r="I43" s="2"/>
      <c r="J43" s="1"/>
      <c r="K43" s="2"/>
      <c r="L43" s="2"/>
      <c r="M43" s="2"/>
      <c r="N43" s="2"/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2"/>
      <c r="B44" s="2"/>
      <c r="C44" s="2"/>
      <c r="D44" s="2"/>
      <c r="E44" s="2"/>
      <c r="F44" s="14"/>
      <c r="G44" s="2"/>
      <c r="H44" s="2"/>
      <c r="I44" s="2"/>
      <c r="J44" s="2"/>
      <c r="K44" s="2"/>
      <c r="L44" s="2"/>
      <c r="M44" s="2"/>
      <c r="N44" s="2"/>
      <c r="O44" s="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44.25" thickBot="1">
      <c r="A45" s="13" t="s">
        <v>10</v>
      </c>
      <c r="B45" s="12" t="s">
        <v>9</v>
      </c>
      <c r="C45" s="12" t="s">
        <v>8</v>
      </c>
      <c r="D45" s="12" t="s">
        <v>7</v>
      </c>
      <c r="E45" s="12" t="s">
        <v>6</v>
      </c>
      <c r="F45" s="12" t="s">
        <v>5</v>
      </c>
      <c r="G45" s="12" t="s">
        <v>4</v>
      </c>
      <c r="H45" s="12" t="s">
        <v>3</v>
      </c>
      <c r="I45" s="12" t="s">
        <v>2</v>
      </c>
      <c r="J45" s="12" t="s">
        <v>1</v>
      </c>
      <c r="K45" s="11" t="s">
        <v>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22.5" thickTop="1">
      <c r="A46" s="10"/>
      <c r="B46" s="9">
        <f>SUM(F34:F38)</f>
        <v>724077</v>
      </c>
      <c r="C46" s="7">
        <f>SUM(G34:G38)</f>
        <v>195151</v>
      </c>
      <c r="D46" s="8">
        <f>SUM(H34:H38)</f>
        <v>2.0722851127323465</v>
      </c>
      <c r="E46" s="7">
        <f>SUM(I34:I38)</f>
        <v>284</v>
      </c>
      <c r="F46" s="5">
        <f>SUM(J34:J38)</f>
        <v>200000</v>
      </c>
      <c r="G46" s="5">
        <f>SUM(K34:K38)</f>
        <v>187926</v>
      </c>
      <c r="H46" s="6">
        <f>SUM(L34:L38)</f>
        <v>-12074</v>
      </c>
      <c r="I46" s="5">
        <f>SUM(M34:M38)</f>
        <v>3347.4322681612352</v>
      </c>
      <c r="J46" s="5">
        <f>SUM(N34:N38)</f>
        <v>354000</v>
      </c>
      <c r="K46" s="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/>
      <c r="B49" s="1"/>
      <c r="C49" s="1"/>
      <c r="D49" s="1"/>
      <c r="E49" s="1"/>
      <c r="F49" s="3"/>
      <c r="G49" s="1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1"/>
      <c r="C50" s="1"/>
      <c r="D50" s="1"/>
      <c r="E50" s="1"/>
      <c r="F50" s="1"/>
      <c r="G50" s="3"/>
      <c r="H50" s="1"/>
      <c r="I50" s="1"/>
      <c r="J50" s="1"/>
      <c r="K50" s="2"/>
      <c r="L50" s="2"/>
      <c r="M50" s="2"/>
      <c r="N50" s="2"/>
      <c r="O50" s="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14">
    <mergeCell ref="A2:D2"/>
    <mergeCell ref="A10:D10"/>
    <mergeCell ref="A4:D4"/>
    <mergeCell ref="A5:D5"/>
    <mergeCell ref="A6:D6"/>
    <mergeCell ref="A8:D8"/>
    <mergeCell ref="A9:D9"/>
    <mergeCell ref="E18:F19"/>
    <mergeCell ref="G18:H19"/>
    <mergeCell ref="I18:J19"/>
    <mergeCell ref="J5:J6"/>
    <mergeCell ref="J8:J10"/>
    <mergeCell ref="J11:J12"/>
    <mergeCell ref="J13:J15"/>
  </mergeCells>
  <conditionalFormatting sqref="F23">
    <cfRule type="dataBar" priority="5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{7229DCC8-9BCA-4AE8-B58E-7082336A8DE8}</x14:id>
        </ext>
      </extLst>
    </cfRule>
  </conditionalFormatting>
  <conditionalFormatting sqref="F25">
    <cfRule type="dataBar" priority="4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{65C963DC-7C13-4AAF-BB32-8CE39DD4F7BE}</x14:id>
        </ext>
      </extLst>
    </cfRule>
  </conditionalFormatting>
  <conditionalFormatting sqref="F27 F29">
    <cfRule type="dataBar" priority="3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{D12856D1-CA7C-4068-A203-1B6730B4FB83}</x14:id>
        </ext>
      </extLst>
    </cfRule>
  </conditionalFormatting>
  <conditionalFormatting sqref="M19 M21 M23 M25 M27 H23 H25 H27 H29 J23 J25 J27 J29">
    <cfRule type="dataBar" priority="1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{44BEFA41-B545-4FA2-8A72-0C223E8CC2AA}</x14:id>
        </ext>
      </extLst>
    </cfRule>
    <cfRule type="dataBar" priority="2">
      <dataBar showValue="0">
        <cfvo type="num" val="0"/>
        <cfvo type="num" val="0"/>
        <color theme="9" tint="0.59999389629810485"/>
      </dataBar>
      <extLst>
        <ext xmlns:x14="http://schemas.microsoft.com/office/spreadsheetml/2009/9/main" uri="{B025F937-C7B1-47D3-B67F-A62EFF666E3E}">
          <x14:id>{D543D421-2FED-4577-9B30-FFBD5C66316F}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29DCC8-9BCA-4AE8-B58E-7082336A8DE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F23</xm:sqref>
        </x14:conditionalFormatting>
        <x14:conditionalFormatting xmlns:xm="http://schemas.microsoft.com/office/excel/2006/main">
          <x14:cfRule type="dataBar" id="{65C963DC-7C13-4AAF-BB32-8CE39DD4F7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F25</xm:sqref>
        </x14:conditionalFormatting>
        <x14:conditionalFormatting xmlns:xm="http://schemas.microsoft.com/office/excel/2006/main">
          <x14:cfRule type="dataBar" id="{D12856D1-CA7C-4068-A203-1B6730B4FB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F27 F29</xm:sqref>
        </x14:conditionalFormatting>
        <x14:conditionalFormatting xmlns:xm="http://schemas.microsoft.com/office/excel/2006/main">
          <x14:cfRule type="dataBar" id="{44BEFA41-B545-4FA2-8A72-0C223E8CC2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43D421-2FED-4577-9B30-FFBD5C66316F}">
            <x14:dataBar minLength="0" maxLength="100" gradient="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M19 M21 M23 M25 M27 H23 H25 H27 H29 J23 J25 J27 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2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SITHPC-11</dc:creator>
  <cp:lastModifiedBy>SITHPC-11</cp:lastModifiedBy>
  <dcterms:created xsi:type="dcterms:W3CDTF">2026-03-11T07:38:30Z</dcterms:created>
  <dcterms:modified xsi:type="dcterms:W3CDTF">2026-03-11T07:43:04Z</dcterms:modified>
</cp:coreProperties>
</file>