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40"/>
  <workbookPr hidePivotFieldList="1" defaultThemeVersion="166925"/>
  <mc:AlternateContent xmlns:mc="http://schemas.openxmlformats.org/markup-compatibility/2006">
    <mc:Choice Requires="x15">
      <x15ac:absPath xmlns:x15ac="http://schemas.microsoft.com/office/spreadsheetml/2010/11/ac" url="C:\Users\Administrator\Documents\"/>
    </mc:Choice>
  </mc:AlternateContent>
  <xr:revisionPtr revIDLastSave="0" documentId="13_ncr:1_{9B69060A-00AA-47DA-A47E-1BA7B88ABC4C}" xr6:coauthVersionLast="36" xr6:coauthVersionMax="36" xr10:uidLastSave="{00000000-0000-0000-0000-000000000000}"/>
  <bookViews>
    <workbookView xWindow="0" yWindow="0" windowWidth="28800" windowHeight="12210" activeTab="2" xr2:uid="{A15F522C-ECF7-47B9-ACB8-B8C0977B69A6}"/>
  </bookViews>
  <sheets>
    <sheet name="DATA" sheetId="1" r:id="rId1"/>
    <sheet name="PIVOT TABLE" sheetId="2" r:id="rId2"/>
    <sheet name="DASHBOARD" sheetId="7" r:id="rId3"/>
  </sheets>
  <definedNames>
    <definedName name="NativeTimeline_Order_date">#N/A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54" i="1" l="1"/>
  <c r="I54" i="1"/>
</calcChain>
</file>

<file path=xl/sharedStrings.xml><?xml version="1.0" encoding="utf-8"?>
<sst xmlns="http://schemas.openxmlformats.org/spreadsheetml/2006/main" count="188" uniqueCount="29">
  <si>
    <t>ID</t>
  </si>
  <si>
    <t>Order date</t>
  </si>
  <si>
    <t>Year</t>
  </si>
  <si>
    <t>Region</t>
  </si>
  <si>
    <t>Category</t>
  </si>
  <si>
    <t>Sub-Category</t>
  </si>
  <si>
    <t>Sales</t>
  </si>
  <si>
    <t>Qty</t>
  </si>
  <si>
    <t>Profit</t>
  </si>
  <si>
    <t>North</t>
  </si>
  <si>
    <t>Office Supplies</t>
  </si>
  <si>
    <t>Paper</t>
  </si>
  <si>
    <t>Technology</t>
  </si>
  <si>
    <t>Laptop</t>
  </si>
  <si>
    <t>Pen</t>
  </si>
  <si>
    <t>South</t>
  </si>
  <si>
    <t>Furniture</t>
  </si>
  <si>
    <t>Bookcase</t>
  </si>
  <si>
    <t>West</t>
  </si>
  <si>
    <t>Phone</t>
  </si>
  <si>
    <t>Binder</t>
  </si>
  <si>
    <t>East</t>
  </si>
  <si>
    <t>Chair</t>
  </si>
  <si>
    <t>Table</t>
  </si>
  <si>
    <t>Accessories</t>
  </si>
  <si>
    <t>Grand Total</t>
  </si>
  <si>
    <t>Row Labels</t>
  </si>
  <si>
    <t>Sum of Sales</t>
  </si>
  <si>
    <t>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</si>
</sst>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_-[$$-409]* #,##0.00_ ;_-[$$-409]* \-#,##0.00\ ;_-[$$-409]* &quot;-&quot;??_ ;_-@_ "/>
  </numFmts>
  <fonts count="5">
    <font>
      <sz val="11"/>
      <color theme="1"/>
      <name val="Calibri"/>
      <family val="2"/>
    </font>
    <font>
      <b/>
      <i/>
      <sz val="12"/>
      <color theme="1"/>
      <name val="Calibri"/>
      <family val="2"/>
    </font>
    <font>
      <sz val="11"/>
      <color rgb="FF000000"/>
      <name val="Aptos Narrow"/>
      <family val="2"/>
    </font>
    <font>
      <b/>
      <sz val="26"/>
      <color theme="1"/>
      <name val="Brenda Valentine"/>
    </font>
    <font>
      <b/>
      <sz val="26"/>
      <color rgb="FF002060"/>
      <name val="Brenda Valentine"/>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164" fontId="2" fillId="0" borderId="0" xfId="0" applyNumberFormat="1" applyFont="1"/>
    <xf numFmtId="0" fontId="0" fillId="0" borderId="0" xfId="0" applyNumberFormat="1"/>
    <xf numFmtId="0" fontId="0" fillId="0" borderId="0" xfId="0" pivotButton="1"/>
    <xf numFmtId="0" fontId="0" fillId="0" borderId="0" xfId="0" applyAlignment="1">
      <alignment horizontal="left"/>
    </xf>
    <xf numFmtId="165" fontId="2" fillId="0" borderId="0" xfId="0" applyNumberFormat="1" applyFont="1"/>
    <xf numFmtId="0" fontId="4" fillId="2" borderId="0" xfId="0" applyFont="1" applyFill="1"/>
    <xf numFmtId="0" fontId="3" fillId="2" borderId="0" xfId="0" applyFont="1" applyFill="1"/>
  </cellXfs>
  <cellStyles count="1">
    <cellStyle name="Normal" xfId="0" builtinId="0"/>
  </cellStyles>
  <dxfs count="20">
    <dxf>
      <font>
        <b val="0"/>
        <i val="0"/>
        <strike val="0"/>
        <condense val="0"/>
        <extend val="0"/>
        <outline val="0"/>
        <shadow val="0"/>
        <u val="none"/>
        <vertAlign val="baseline"/>
        <sz val="11"/>
        <color rgb="FF000000"/>
        <name val="Aptos Narrow"/>
        <family val="2"/>
        <scheme val="none"/>
      </font>
      <numFmt numFmtId="165" formatCode="_-[$$-409]* #,##0.00_ ;_-[$$-409]* \-#,##0.00\ ;_-[$$-409]* &quot;-&quot;??_ ;_-@_ "/>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numFmt numFmtId="164" formatCode="yyyy\-mm\-dd"/>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numFmt numFmtId="164" formatCode="yyyy\-mm\-dd"/>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i/>
        <strike val="0"/>
        <condense val="0"/>
        <extend val="0"/>
        <outline val="0"/>
        <shadow val="0"/>
        <u val="none"/>
        <vertAlign val="baseline"/>
        <sz val="12"/>
        <color theme="1"/>
        <name val="Calibri"/>
        <family val="2"/>
        <scheme val="none"/>
      </font>
    </dxf>
  </dxfs>
  <tableStyles count="1" defaultTableStyle="TableStyleMedium2" defaultPivotStyle="PivotStyleLight16">
    <tableStyle name="PivotTable Style 1" table="0" count="0" xr9:uid="{92D9F392-E679-4956-A7D2-70004B00173A}"/>
  </tableStyles>
  <colors>
    <mruColors>
      <color rgb="FF20068C"/>
      <color rgb="FF512AF6"/>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[asha.pdashboard5.xlsx]PIVOT TABLE!PivotTable12</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BY</a:t>
            </a:r>
            <a:r>
              <a:rPr lang="en-US" b="1" baseline="0"/>
              <a:t>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hi-IN"/>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B0F0"/>
          </a:solidFill>
          <a:ln>
            <a:noFill/>
          </a:ln>
          <a:effectLst/>
        </c:spPr>
        <c:marker>
          <c:symbol val="none"/>
        </c:marker>
      </c:pivotFmt>
    </c:pivotFmts>
    <c:plotArea>
      <c:layout/>
      <c:barChart>
        <c:barDir val="col"/>
        <c:grouping val="clustered"/>
        <c:varyColors val="0"/>
        <c:ser>
          <c:idx val="0"/>
          <c:order val="0"/>
          <c:tx>
            <c:strRef>
              <c:f>'PIVOT TABLE'!$B$3</c:f>
              <c:strCache>
                <c:ptCount val="1"/>
                <c:pt idx="0">
                  <c:v>Total</c:v>
                </c:pt>
              </c:strCache>
            </c:strRef>
          </c:tx>
          <c:spPr>
            <a:solidFill>
              <a:srgbClr val="00B0F0"/>
            </a:solidFill>
            <a:ln>
              <a:noFill/>
            </a:ln>
            <a:effectLst/>
          </c:spPr>
          <c:invertIfNegative val="0"/>
          <c:cat>
            <c:strRef>
              <c:f>'PIVOT TABLE'!$A$4:$A$7</c:f>
              <c:strCache>
                <c:ptCount val="3"/>
                <c:pt idx="0">
                  <c:v>2023</c:v>
                </c:pt>
                <c:pt idx="1">
                  <c:v>2024</c:v>
                </c:pt>
                <c:pt idx="2">
                  <c:v>2025</c:v>
                </c:pt>
              </c:strCache>
            </c:strRef>
          </c:cat>
          <c:val>
            <c:numRef>
              <c:f>'PIVOT TABLE'!$B$4:$B$7</c:f>
              <c:numCache>
                <c:formatCode>General</c:formatCode>
                <c:ptCount val="3"/>
                <c:pt idx="0">
                  <c:v>49417.789999999994</c:v>
                </c:pt>
                <c:pt idx="1">
                  <c:v>39442.1</c:v>
                </c:pt>
                <c:pt idx="2">
                  <c:v>45943.710000000006</c:v>
                </c:pt>
              </c:numCache>
            </c:numRef>
          </c:val>
          <c:extLst>
            <c:ext xmlns:c16="http://schemas.microsoft.com/office/drawing/2014/chart" uri="{C3380CC4-5D6E-409C-BE32-E72D297353CC}">
              <c16:uniqueId val="{00000000-909F-40E6-8545-109FD7AD7C5A}"/>
            </c:ext>
          </c:extLst>
        </c:ser>
        <c:dLbls>
          <c:showLegendKey val="0"/>
          <c:showVal val="0"/>
          <c:showCatName val="0"/>
          <c:showSerName val="0"/>
          <c:showPercent val="0"/>
          <c:showBubbleSize val="0"/>
        </c:dLbls>
        <c:gapWidth val="219"/>
        <c:overlap val="-27"/>
        <c:axId val="926911983"/>
        <c:axId val="1207406447"/>
      </c:barChart>
      <c:catAx>
        <c:axId val="92691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hi-IN"/>
          </a:p>
        </c:txPr>
        <c:crossAx val="1207406447"/>
        <c:crosses val="autoZero"/>
        <c:auto val="1"/>
        <c:lblAlgn val="ctr"/>
        <c:lblOffset val="100"/>
        <c:noMultiLvlLbl val="0"/>
      </c:catAx>
      <c:valAx>
        <c:axId val="1207406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hi-IN"/>
          </a:p>
        </c:txPr>
        <c:crossAx val="92691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[asha.pdashboard5.xlsx]PIVOT TABLE!PivotTable13</c:name>
    <c:fmtId val="7"/>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CATEGORY</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hi-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6">
                <a:lumMod val="75000"/>
              </a:schemeClr>
            </a:solidFill>
            <a:round/>
          </a:ln>
          <a:effectLst/>
        </c:spPr>
        <c:marker>
          <c:symbol val="circle"/>
          <c:size val="5"/>
          <c:spPr>
            <a:solidFill>
              <a:schemeClr val="accent6">
                <a:lumMod val="60000"/>
                <a:lumOff val="40000"/>
              </a:schemeClr>
            </a:solidFill>
            <a:ln w="9525">
              <a:solidFill>
                <a:schemeClr val="accent6">
                  <a:lumMod val="75000"/>
                </a:schemeClr>
              </a:solidFill>
            </a:ln>
            <a:effectLst/>
          </c:spPr>
        </c:marker>
      </c:pivotFmt>
      <c:pivotFmt>
        <c:idx val="3"/>
        <c:spPr>
          <a:ln w="28575" cap="rnd">
            <a:solidFill>
              <a:schemeClr val="accent6">
                <a:lumMod val="75000"/>
              </a:schemeClr>
            </a:solidFill>
            <a:round/>
          </a:ln>
          <a:effectLst/>
        </c:spPr>
        <c:marker>
          <c:symbol val="circle"/>
          <c:size val="5"/>
          <c:spPr>
            <a:solidFill>
              <a:schemeClr val="accent6">
                <a:lumMod val="60000"/>
                <a:lumOff val="40000"/>
              </a:schemeClr>
            </a:solidFill>
            <a:ln w="9525">
              <a:solidFill>
                <a:schemeClr val="accent6">
                  <a:lumMod val="75000"/>
                </a:schemeClr>
              </a:solidFill>
            </a:ln>
            <a:effectLst/>
          </c:spPr>
        </c:marker>
      </c:pivotFmt>
    </c:pivotFmts>
    <c:plotArea>
      <c:layout/>
      <c:lineChart>
        <c:grouping val="standard"/>
        <c:varyColors val="0"/>
        <c:ser>
          <c:idx val="0"/>
          <c:order val="0"/>
          <c:tx>
            <c:strRef>
              <c:f>'PIVOT TABLE'!$E$3</c:f>
              <c:strCache>
                <c:ptCount val="1"/>
                <c:pt idx="0">
                  <c:v>Total</c:v>
                </c:pt>
              </c:strCache>
            </c:strRef>
          </c:tx>
          <c:spPr>
            <a:ln w="28575" cap="rnd">
              <a:solidFill>
                <a:schemeClr val="accent6">
                  <a:lumMod val="75000"/>
                </a:schemeClr>
              </a:solidFill>
              <a:round/>
            </a:ln>
            <a:effectLst/>
          </c:spPr>
          <c:marker>
            <c:symbol val="circle"/>
            <c:size val="5"/>
            <c:spPr>
              <a:solidFill>
                <a:schemeClr val="accent6">
                  <a:lumMod val="60000"/>
                  <a:lumOff val="40000"/>
                </a:schemeClr>
              </a:solidFill>
              <a:ln w="9525">
                <a:solidFill>
                  <a:schemeClr val="accent6">
                    <a:lumMod val="75000"/>
                  </a:schemeClr>
                </a:solidFill>
              </a:ln>
              <a:effectLst/>
            </c:spPr>
          </c:marker>
          <c:cat>
            <c:strRef>
              <c:f>'PIVOT TABLE'!$D$4:$D$13</c:f>
              <c:strCache>
                <c:ptCount val="9"/>
                <c:pt idx="0">
                  <c:v>Laptop</c:v>
                </c:pt>
                <c:pt idx="1">
                  <c:v>Accessories</c:v>
                </c:pt>
                <c:pt idx="2">
                  <c:v>Binder</c:v>
                </c:pt>
                <c:pt idx="3">
                  <c:v>Bookcase</c:v>
                </c:pt>
                <c:pt idx="4">
                  <c:v>Chair</c:v>
                </c:pt>
                <c:pt idx="5">
                  <c:v>Paper</c:v>
                </c:pt>
                <c:pt idx="6">
                  <c:v>Pen</c:v>
                </c:pt>
                <c:pt idx="7">
                  <c:v>Phone</c:v>
                </c:pt>
                <c:pt idx="8">
                  <c:v>Table</c:v>
                </c:pt>
              </c:strCache>
            </c:strRef>
          </c:cat>
          <c:val>
            <c:numRef>
              <c:f>'PIVOT TABLE'!$E$4:$E$13</c:f>
              <c:numCache>
                <c:formatCode>General</c:formatCode>
                <c:ptCount val="9"/>
                <c:pt idx="0">
                  <c:v>10820.239999999998</c:v>
                </c:pt>
                <c:pt idx="1">
                  <c:v>11813.380000000001</c:v>
                </c:pt>
                <c:pt idx="2">
                  <c:v>11109.41</c:v>
                </c:pt>
                <c:pt idx="3">
                  <c:v>10674.630000000001</c:v>
                </c:pt>
                <c:pt idx="4">
                  <c:v>15633.93</c:v>
                </c:pt>
                <c:pt idx="5">
                  <c:v>25918.080000000002</c:v>
                </c:pt>
                <c:pt idx="6">
                  <c:v>13961.19</c:v>
                </c:pt>
                <c:pt idx="7">
                  <c:v>12928.109999999999</c:v>
                </c:pt>
                <c:pt idx="8">
                  <c:v>21944.63</c:v>
                </c:pt>
              </c:numCache>
            </c:numRef>
          </c:val>
          <c:smooth val="0"/>
          <c:extLst>
            <c:ext xmlns:c16="http://schemas.microsoft.com/office/drawing/2014/chart" uri="{C3380CC4-5D6E-409C-BE32-E72D297353CC}">
              <c16:uniqueId val="{00000000-7DFC-4E26-9F4E-214EC060167D}"/>
            </c:ext>
          </c:extLst>
        </c:ser>
        <c:dLbls>
          <c:showLegendKey val="0"/>
          <c:showVal val="0"/>
          <c:showCatName val="0"/>
          <c:showSerName val="0"/>
          <c:showPercent val="0"/>
          <c:showBubbleSize val="0"/>
        </c:dLbls>
        <c:marker val="1"/>
        <c:smooth val="0"/>
        <c:axId val="1157591887"/>
        <c:axId val="1031278575"/>
      </c:lineChart>
      <c:catAx>
        <c:axId val="115759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hi-IN"/>
          </a:p>
        </c:txPr>
        <c:crossAx val="1031278575"/>
        <c:crosses val="autoZero"/>
        <c:auto val="1"/>
        <c:lblAlgn val="ctr"/>
        <c:lblOffset val="100"/>
        <c:noMultiLvlLbl val="0"/>
      </c:catAx>
      <c:valAx>
        <c:axId val="1031278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hi-IN"/>
          </a:p>
        </c:txPr>
        <c:crossAx val="1157591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[asha.pdashboard5.xlsx]PIVOT TABLE!PivotTable14</c:name>
    <c:fmtId val="7"/>
  </c:pivotSource>
  <c:chart>
    <c:title>
      <c:tx>
        <c:rich>
          <a:bodyPr rot="0" spcFirstLastPara="1" vertOverflow="ellipsis" vert="horz" wrap="square" anchor="ctr" anchorCtr="1"/>
          <a:lstStyle/>
          <a:p>
            <a:pPr algn="l">
              <a:defRPr sz="1600" b="1"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REGION</a:t>
            </a:r>
            <a:endParaRPr lang="en-US" sz="1600" b="1"/>
          </a:p>
        </c:rich>
      </c:tx>
      <c:layout>
        <c:manualLayout>
          <c:xMode val="edge"/>
          <c:yMode val="edge"/>
          <c:x val="3.6680497925311216E-2"/>
          <c:y val="3.603602325458493E-2"/>
        </c:manualLayout>
      </c:layout>
      <c:overlay val="0"/>
      <c:spPr>
        <a:noFill/>
        <a:ln>
          <a:noFill/>
        </a:ln>
        <a:effectLst/>
      </c:spPr>
      <c:txPr>
        <a:bodyPr rot="0" spcFirstLastPara="1" vertOverflow="ellipsis" vert="horz" wrap="square" anchor="ctr" anchorCtr="1"/>
        <a:lstStyle/>
        <a:p>
          <a:pPr algn="l">
            <a:defRPr sz="1600" b="1" i="0" u="none" strike="noStrike" kern="1200" spc="0" baseline="0">
              <a:solidFill>
                <a:schemeClr val="tx1">
                  <a:lumMod val="65000"/>
                  <a:lumOff val="35000"/>
                </a:schemeClr>
              </a:solidFill>
              <a:latin typeface="+mn-lt"/>
              <a:ea typeface="+mn-ea"/>
              <a:cs typeface="+mn-cs"/>
            </a:defRPr>
          </a:pPr>
          <a:endParaRPr lang="hi-IN"/>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2060"/>
          </a:solidFill>
          <a:ln>
            <a:solidFill>
              <a:schemeClr val="accent6">
                <a:lumMod val="75000"/>
              </a:schemeClr>
            </a:solidFill>
          </a:ln>
          <a:effectLst/>
        </c:spPr>
        <c:marker>
          <c:symbol val="none"/>
        </c:marker>
      </c:pivotFmt>
    </c:pivotFmts>
    <c:plotArea>
      <c:layout/>
      <c:barChart>
        <c:barDir val="bar"/>
        <c:grouping val="clustered"/>
        <c:varyColors val="0"/>
        <c:ser>
          <c:idx val="0"/>
          <c:order val="0"/>
          <c:tx>
            <c:strRef>
              <c:f>'PIVOT TABLE'!$H$3</c:f>
              <c:strCache>
                <c:ptCount val="1"/>
                <c:pt idx="0">
                  <c:v>Total</c:v>
                </c:pt>
              </c:strCache>
            </c:strRef>
          </c:tx>
          <c:spPr>
            <a:solidFill>
              <a:srgbClr val="002060"/>
            </a:solidFill>
            <a:ln>
              <a:solidFill>
                <a:schemeClr val="accent6">
                  <a:lumMod val="75000"/>
                </a:schemeClr>
              </a:solidFill>
            </a:ln>
            <a:effectLst/>
          </c:spPr>
          <c:invertIfNegative val="0"/>
          <c:cat>
            <c:strRef>
              <c:f>'PIVOT TABLE'!$G$4:$G$8</c:f>
              <c:strCache>
                <c:ptCount val="4"/>
                <c:pt idx="0">
                  <c:v>East</c:v>
                </c:pt>
                <c:pt idx="1">
                  <c:v>South</c:v>
                </c:pt>
                <c:pt idx="2">
                  <c:v>North</c:v>
                </c:pt>
                <c:pt idx="3">
                  <c:v>West</c:v>
                </c:pt>
              </c:strCache>
            </c:strRef>
          </c:cat>
          <c:val>
            <c:numRef>
              <c:f>'PIVOT TABLE'!$H$4:$H$8</c:f>
              <c:numCache>
                <c:formatCode>General</c:formatCode>
                <c:ptCount val="4"/>
                <c:pt idx="0">
                  <c:v>33353.54</c:v>
                </c:pt>
                <c:pt idx="1">
                  <c:v>32962.51</c:v>
                </c:pt>
                <c:pt idx="2">
                  <c:v>30502.74</c:v>
                </c:pt>
                <c:pt idx="3">
                  <c:v>37984.81</c:v>
                </c:pt>
              </c:numCache>
            </c:numRef>
          </c:val>
          <c:extLst>
            <c:ext xmlns:c16="http://schemas.microsoft.com/office/drawing/2014/chart" uri="{C3380CC4-5D6E-409C-BE32-E72D297353CC}">
              <c16:uniqueId val="{00000000-CEED-4F0E-A6D2-95B6DEC8F4C3}"/>
            </c:ext>
          </c:extLst>
        </c:ser>
        <c:dLbls>
          <c:showLegendKey val="0"/>
          <c:showVal val="0"/>
          <c:showCatName val="0"/>
          <c:showSerName val="0"/>
          <c:showPercent val="0"/>
          <c:showBubbleSize val="0"/>
        </c:dLbls>
        <c:gapWidth val="182"/>
        <c:axId val="1157595487"/>
        <c:axId val="1222520687"/>
      </c:barChart>
      <c:catAx>
        <c:axId val="1157595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hi-IN"/>
          </a:p>
        </c:txPr>
        <c:crossAx val="1222520687"/>
        <c:crosses val="autoZero"/>
        <c:auto val="1"/>
        <c:lblAlgn val="ctr"/>
        <c:lblOffset val="100"/>
        <c:noMultiLvlLbl val="0"/>
      </c:catAx>
      <c:valAx>
        <c:axId val="1222520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hi-IN"/>
          </a:p>
        </c:txPr>
        <c:crossAx val="1157595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[asha.pdashboard5.xlsx]PIVOT TABLE!PivotTable15</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SALES BY CATEGORY</a:t>
            </a:r>
          </a:p>
        </c:rich>
      </c:tx>
      <c:layout>
        <c:manualLayout>
          <c:xMode val="edge"/>
          <c:yMode val="edge"/>
          <c:x val="8.1423103011000031E-2"/>
          <c:y val="6.222220044717394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hi-IN"/>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lumMod val="50000"/>
            </a:schemeClr>
          </a:solidFill>
          <a:ln w="19050">
            <a:solidFill>
              <a:schemeClr val="lt1"/>
            </a:solidFill>
          </a:ln>
          <a:effectLst/>
        </c:spPr>
      </c:pivotFmt>
      <c:pivotFmt>
        <c:idx val="7"/>
        <c:spPr>
          <a:solidFill>
            <a:srgbClr val="00B0F0"/>
          </a:solidFill>
          <a:ln w="19050">
            <a:solidFill>
              <a:schemeClr val="lt1"/>
            </a:solidFill>
          </a:ln>
          <a:effectLst/>
        </c:spPr>
      </c:pivotFmt>
      <c:pivotFmt>
        <c:idx val="8"/>
        <c:spPr>
          <a:solidFill>
            <a:schemeClr val="accent6">
              <a:lumMod val="60000"/>
              <a:lumOff val="40000"/>
            </a:schemeClr>
          </a:solidFill>
          <a:ln w="19050">
            <a:solidFill>
              <a:schemeClr val="lt1"/>
            </a:solidFill>
          </a:ln>
          <a:effectLst/>
        </c:spPr>
      </c:pivotFmt>
    </c:pivotFmts>
    <c:plotArea>
      <c:layout/>
      <c:pieChart>
        <c:varyColors val="1"/>
        <c:ser>
          <c:idx val="0"/>
          <c:order val="0"/>
          <c:tx>
            <c:strRef>
              <c:f>'PIVOT TABLE'!$K$3</c:f>
              <c:strCache>
                <c:ptCount val="1"/>
                <c:pt idx="0">
                  <c:v>Total</c:v>
                </c:pt>
              </c:strCache>
            </c:strRef>
          </c:tx>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CB41-4433-8FC3-40FA65FE22B6}"/>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CB41-4433-8FC3-40FA65FE22B6}"/>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CB41-4433-8FC3-40FA65FE22B6}"/>
              </c:ext>
            </c:extLst>
          </c:dPt>
          <c:cat>
            <c:strRef>
              <c:f>'PIVOT TABLE'!$J$4:$J$7</c:f>
              <c:strCache>
                <c:ptCount val="3"/>
                <c:pt idx="0">
                  <c:v>Furniture</c:v>
                </c:pt>
                <c:pt idx="1">
                  <c:v>Office Supplies</c:v>
                </c:pt>
                <c:pt idx="2">
                  <c:v>Technology</c:v>
                </c:pt>
              </c:strCache>
            </c:strRef>
          </c:cat>
          <c:val>
            <c:numRef>
              <c:f>'PIVOT TABLE'!$K$4:$K$7</c:f>
              <c:numCache>
                <c:formatCode>General</c:formatCode>
                <c:ptCount val="3"/>
                <c:pt idx="0">
                  <c:v>48253.19</c:v>
                </c:pt>
                <c:pt idx="1">
                  <c:v>50988.679999999993</c:v>
                </c:pt>
                <c:pt idx="2">
                  <c:v>35561.730000000003</c:v>
                </c:pt>
              </c:numCache>
            </c:numRef>
          </c:val>
          <c:extLst>
            <c:ext xmlns:c16="http://schemas.microsoft.com/office/drawing/2014/chart" uri="{C3380CC4-5D6E-409C-BE32-E72D297353CC}">
              <c16:uniqueId val="{00000006-CB41-4433-8FC3-40FA65FE22B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hi-I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95249</xdr:colOff>
      <xdr:row>2</xdr:row>
      <xdr:rowOff>19050</xdr:rowOff>
    </xdr:from>
    <xdr:to>
      <xdr:col>6</xdr:col>
      <xdr:colOff>600075</xdr:colOff>
      <xdr:row>10</xdr:row>
      <xdr:rowOff>180975</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93D2B856-B61B-4A97-8052-78FE6D5899D1}"/>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95249" y="1104900"/>
              <a:ext cx="4543426" cy="1685925"/>
            </a:xfrm>
            <a:prstGeom prst="rect">
              <a:avLst/>
            </a:prstGeom>
            <a:solidFill>
              <a:prstClr val="white"/>
            </a:solidFill>
            <a:ln w="1">
              <a:solidFill>
                <a:prstClr val="green"/>
              </a:solidFill>
            </a:ln>
          </xdr:spPr>
          <xdr:txBody>
            <a:bodyPr vertOverflow="clip" horzOverflow="clip"/>
            <a:lstStyle/>
            <a:p>
              <a:r>
                <a:rPr lang="hi-IN" sz="1100"/>
                <a:t>Timeline: Works in Excel 2013 or higher. Do not move or resize.</a:t>
              </a:r>
            </a:p>
          </xdr:txBody>
        </xdr:sp>
      </mc:Fallback>
    </mc:AlternateContent>
    <xdr:clientData/>
  </xdr:twoCellAnchor>
  <xdr:twoCellAnchor>
    <xdr:from>
      <xdr:col>0</xdr:col>
      <xdr:colOff>95249</xdr:colOff>
      <xdr:row>12</xdr:row>
      <xdr:rowOff>0</xdr:rowOff>
    </xdr:from>
    <xdr:to>
      <xdr:col>6</xdr:col>
      <xdr:colOff>600074</xdr:colOff>
      <xdr:row>26</xdr:row>
      <xdr:rowOff>76200</xdr:rowOff>
    </xdr:to>
    <xdr:graphicFrame macro="">
      <xdr:nvGraphicFramePr>
        <xdr:cNvPr id="5" name="Chart 4">
          <a:extLst>
            <a:ext uri="{FF2B5EF4-FFF2-40B4-BE49-F238E27FC236}">
              <a16:creationId xmlns:a16="http://schemas.microsoft.com/office/drawing/2014/main" id="{0128620B-320C-498C-BAC1-DF2748123C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66674</xdr:colOff>
      <xdr:row>26</xdr:row>
      <xdr:rowOff>190499</xdr:rowOff>
    </xdr:from>
    <xdr:to>
      <xdr:col>15</xdr:col>
      <xdr:colOff>9525</xdr:colOff>
      <xdr:row>41</xdr:row>
      <xdr:rowOff>180974</xdr:rowOff>
    </xdr:to>
    <xdr:graphicFrame macro="">
      <xdr:nvGraphicFramePr>
        <xdr:cNvPr id="6" name="Chart 5">
          <a:extLst>
            <a:ext uri="{FF2B5EF4-FFF2-40B4-BE49-F238E27FC236}">
              <a16:creationId xmlns:a16="http://schemas.microsoft.com/office/drawing/2014/main" id="{EDC36498-AF4E-435B-8C14-60E152DAC3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28575</xdr:colOff>
      <xdr:row>43</xdr:row>
      <xdr:rowOff>28574</xdr:rowOff>
    </xdr:from>
    <xdr:to>
      <xdr:col>7</xdr:col>
      <xdr:colOff>19050</xdr:colOff>
      <xdr:row>57</xdr:row>
      <xdr:rowOff>180975</xdr:rowOff>
    </xdr:to>
    <xdr:graphicFrame macro="">
      <xdr:nvGraphicFramePr>
        <xdr:cNvPr id="7" name="Chart 6">
          <a:extLst>
            <a:ext uri="{FF2B5EF4-FFF2-40B4-BE49-F238E27FC236}">
              <a16:creationId xmlns:a16="http://schemas.microsoft.com/office/drawing/2014/main" id="{EE5F2EE6-2F11-4356-B74A-E944F8ABCD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76200</xdr:colOff>
      <xdr:row>43</xdr:row>
      <xdr:rowOff>19049</xdr:rowOff>
    </xdr:from>
    <xdr:to>
      <xdr:col>15</xdr:col>
      <xdr:colOff>47625</xdr:colOff>
      <xdr:row>58</xdr:row>
      <xdr:rowOff>19050</xdr:rowOff>
    </xdr:to>
    <xdr:graphicFrame macro="">
      <xdr:nvGraphicFramePr>
        <xdr:cNvPr id="8" name="Chart 7">
          <a:extLst>
            <a:ext uri="{FF2B5EF4-FFF2-40B4-BE49-F238E27FC236}">
              <a16:creationId xmlns:a16="http://schemas.microsoft.com/office/drawing/2014/main" id="{94739AA0-C0A9-455B-B367-B97DC0887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19050</xdr:colOff>
      <xdr:row>2</xdr:row>
      <xdr:rowOff>9524</xdr:rowOff>
    </xdr:from>
    <xdr:to>
      <xdr:col>11</xdr:col>
      <xdr:colOff>323850</xdr:colOff>
      <xdr:row>10</xdr:row>
      <xdr:rowOff>190499</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73DF9B25-6FD1-404C-83C2-D1BC3F2D898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276850" y="1095374"/>
              <a:ext cx="2133600" cy="1704975"/>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28575</xdr:colOff>
      <xdr:row>12</xdr:row>
      <xdr:rowOff>47625</xdr:rowOff>
    </xdr:from>
    <xdr:to>
      <xdr:col>15</xdr:col>
      <xdr:colOff>0</xdr:colOff>
      <xdr:row>19</xdr:row>
      <xdr:rowOff>0</xdr:rowOff>
    </xdr:to>
    <xdr:sp macro="" textlink="">
      <xdr:nvSpPr>
        <xdr:cNvPr id="2" name="Rectangle 1">
          <a:extLst>
            <a:ext uri="{FF2B5EF4-FFF2-40B4-BE49-F238E27FC236}">
              <a16:creationId xmlns:a16="http://schemas.microsoft.com/office/drawing/2014/main" id="{07929555-B132-445B-841F-457AFEC16EE1}"/>
            </a:ext>
          </a:extLst>
        </xdr:cNvPr>
        <xdr:cNvSpPr/>
      </xdr:nvSpPr>
      <xdr:spPr>
        <a:xfrm>
          <a:off x="5286375" y="2543175"/>
          <a:ext cx="4238625" cy="1285875"/>
        </a:xfrm>
        <a:prstGeom prst="rect">
          <a:avLst/>
        </a:prstGeom>
        <a:solidFill>
          <a:schemeClr val="bg1"/>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r>
            <a:rPr lang="hi-IN" sz="2400" b="0" i="0" u="none" strike="noStrike">
              <a:solidFill>
                <a:srgbClr val="FF0000"/>
              </a:solidFill>
              <a:effectLst/>
              <a:latin typeface="+mn-lt"/>
              <a:ea typeface="+mn-ea"/>
              <a:cs typeface="+mn-cs"/>
            </a:rPr>
            <a:t> </a:t>
          </a:r>
          <a:r>
            <a:rPr lang="en-IN" sz="2400" b="0" i="0" u="none" strike="noStrike">
              <a:solidFill>
                <a:srgbClr val="FF0000"/>
              </a:solidFill>
              <a:effectLst/>
              <a:latin typeface="+mn-lt"/>
              <a:ea typeface="+mn-ea"/>
              <a:cs typeface="+mn-cs"/>
            </a:rPr>
            <a:t>          </a:t>
          </a:r>
          <a:r>
            <a:rPr lang="hi-IN" sz="2400" b="0" i="0" u="none" strike="noStrike">
              <a:solidFill>
                <a:srgbClr val="FF0000"/>
              </a:solidFill>
              <a:effectLst/>
              <a:latin typeface="+mn-lt"/>
              <a:ea typeface="+mn-ea"/>
              <a:cs typeface="+mn-cs"/>
            </a:rPr>
            <a:t>$20,414.30 </a:t>
          </a:r>
          <a:endParaRPr lang="hi-IN" sz="2400">
            <a:solidFill>
              <a:srgbClr val="FF0000"/>
            </a:solidFill>
          </a:endParaRPr>
        </a:p>
      </xdr:txBody>
    </xdr:sp>
    <xdr:clientData/>
  </xdr:twoCellAnchor>
  <xdr:twoCellAnchor>
    <xdr:from>
      <xdr:col>8</xdr:col>
      <xdr:colOff>28575</xdr:colOff>
      <xdr:row>19</xdr:row>
      <xdr:rowOff>171450</xdr:rowOff>
    </xdr:from>
    <xdr:to>
      <xdr:col>14</xdr:col>
      <xdr:colOff>600075</xdr:colOff>
      <xdr:row>26</xdr:row>
      <xdr:rowOff>66675</xdr:rowOff>
    </xdr:to>
    <xdr:sp macro="" textlink="">
      <xdr:nvSpPr>
        <xdr:cNvPr id="3" name="Rectangle 2">
          <a:extLst>
            <a:ext uri="{FF2B5EF4-FFF2-40B4-BE49-F238E27FC236}">
              <a16:creationId xmlns:a16="http://schemas.microsoft.com/office/drawing/2014/main" id="{2BF3726C-0B13-43D9-A127-0A090A8C7C83}"/>
            </a:ext>
          </a:extLst>
        </xdr:cNvPr>
        <xdr:cNvSpPr/>
      </xdr:nvSpPr>
      <xdr:spPr>
        <a:xfrm>
          <a:off x="5286375" y="4000500"/>
          <a:ext cx="4229100" cy="1228725"/>
        </a:xfrm>
        <a:prstGeom prst="rect">
          <a:avLst/>
        </a:prstGeom>
        <a:solidFill>
          <a:schemeClr val="bg1"/>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400" b="0" i="0" u="none" strike="noStrike">
              <a:solidFill>
                <a:srgbClr val="FF0000"/>
              </a:solidFill>
              <a:effectLst/>
              <a:latin typeface="+mn-lt"/>
              <a:ea typeface="+mn-ea"/>
              <a:cs typeface="+mn-cs"/>
            </a:rPr>
            <a:t>$</a:t>
          </a:r>
          <a:r>
            <a:rPr lang="hi-IN" sz="2400" b="0" i="0" u="none" strike="noStrike">
              <a:solidFill>
                <a:srgbClr val="FF0000"/>
              </a:solidFill>
              <a:effectLst/>
              <a:latin typeface="+mn-lt"/>
              <a:ea typeface="+mn-ea"/>
              <a:cs typeface="+mn-cs"/>
            </a:rPr>
            <a:t>134804</a:t>
          </a:r>
          <a:r>
            <a:rPr lang="hi-IN" sz="2400">
              <a:solidFill>
                <a:srgbClr val="FF0000"/>
              </a:solidFill>
            </a:rPr>
            <a:t> </a:t>
          </a:r>
        </a:p>
      </xdr:txBody>
    </xdr:sp>
    <xdr:clientData/>
  </xdr:twoCellAnchor>
  <xdr:twoCellAnchor>
    <xdr:from>
      <xdr:col>8</xdr:col>
      <xdr:colOff>171451</xdr:colOff>
      <xdr:row>13</xdr:row>
      <xdr:rowOff>9524</xdr:rowOff>
    </xdr:from>
    <xdr:to>
      <xdr:col>10</xdr:col>
      <xdr:colOff>457201</xdr:colOff>
      <xdr:row>15</xdr:row>
      <xdr:rowOff>57149</xdr:rowOff>
    </xdr:to>
    <xdr:sp macro="" textlink="">
      <xdr:nvSpPr>
        <xdr:cNvPr id="9" name="Rectangle 8">
          <a:extLst>
            <a:ext uri="{FF2B5EF4-FFF2-40B4-BE49-F238E27FC236}">
              <a16:creationId xmlns:a16="http://schemas.microsoft.com/office/drawing/2014/main" id="{554691C7-8AF0-4C0E-8B49-4B8F39EB2848}"/>
            </a:ext>
          </a:extLst>
        </xdr:cNvPr>
        <xdr:cNvSpPr/>
      </xdr:nvSpPr>
      <xdr:spPr>
        <a:xfrm>
          <a:off x="5429251" y="2695574"/>
          <a:ext cx="1504950" cy="428625"/>
        </a:xfrm>
        <a:prstGeom prst="rect">
          <a:avLst/>
        </a:prstGeom>
        <a:solidFill>
          <a:schemeClr val="bg1">
            <a:lumMod val="50000"/>
          </a:schemeClr>
        </a:solidFill>
        <a:ln>
          <a:solidFill>
            <a:schemeClr val="bg1"/>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IN" sz="2000">
              <a:latin typeface="Arial" panose="020B0604020202020204" pitchFamily="34" charset="0"/>
              <a:cs typeface="Arial" panose="020B0604020202020204" pitchFamily="34" charset="0"/>
            </a:rPr>
            <a:t>PROFIT</a:t>
          </a:r>
          <a:endParaRPr lang="hi-IN" sz="2000">
            <a:latin typeface="Arial" panose="020B0604020202020204" pitchFamily="34" charset="0"/>
          </a:endParaRPr>
        </a:p>
      </xdr:txBody>
    </xdr:sp>
    <xdr:clientData/>
  </xdr:twoCellAnchor>
  <xdr:twoCellAnchor>
    <xdr:from>
      <xdr:col>8</xdr:col>
      <xdr:colOff>190500</xdr:colOff>
      <xdr:row>20</xdr:row>
      <xdr:rowOff>104775</xdr:rowOff>
    </xdr:from>
    <xdr:to>
      <xdr:col>10</xdr:col>
      <xdr:colOff>514350</xdr:colOff>
      <xdr:row>22</xdr:row>
      <xdr:rowOff>133350</xdr:rowOff>
    </xdr:to>
    <xdr:sp macro="" textlink="">
      <xdr:nvSpPr>
        <xdr:cNvPr id="10" name="Rectangle 9">
          <a:extLst>
            <a:ext uri="{FF2B5EF4-FFF2-40B4-BE49-F238E27FC236}">
              <a16:creationId xmlns:a16="http://schemas.microsoft.com/office/drawing/2014/main" id="{1C3F8473-1C9D-4566-9364-119FA092958E}"/>
            </a:ext>
          </a:extLst>
        </xdr:cNvPr>
        <xdr:cNvSpPr/>
      </xdr:nvSpPr>
      <xdr:spPr>
        <a:xfrm>
          <a:off x="5448300" y="4124325"/>
          <a:ext cx="1543050" cy="409575"/>
        </a:xfrm>
        <a:prstGeom prst="rect">
          <a:avLst/>
        </a:prstGeom>
        <a:solidFill>
          <a:schemeClr val="bg1">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REVENUE</a:t>
          </a:r>
          <a:endParaRPr lang="hi-IN" sz="20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THPC-11" refreshedDate="46043.482556597221" createdVersion="6" refreshedVersion="6" minRefreshableVersion="3" recordCount="50" xr:uid="{4FD086AB-DB8E-4E9D-B819-3E099DE8BEF8}">
  <cacheSource type="worksheet">
    <worksheetSource name="Table1"/>
  </cacheSource>
  <cacheFields count="11">
    <cacheField name="ID" numFmtId="0">
      <sharedItems containsSemiMixedTypes="0" containsString="0" containsNumber="1" containsInteger="1" minValue="1" maxValue="50"/>
    </cacheField>
    <cacheField name="Order date" numFmtId="164">
      <sharedItems containsSemiMixedTypes="0" containsNonDate="0" containsDate="1" containsString="0" minDate="2023-02-15T00:00:00" maxDate="2025-11-29T00:00:00" count="48">
        <d v="2024-01-13T00:00:00"/>
        <d v="2025-02-10T00:00:00"/>
        <d v="2025-04-24T00:00:00"/>
        <d v="2025-10-22T00:00:00"/>
        <d v="2023-09-19T00:00:00"/>
        <d v="2023-07-02T00:00:00"/>
        <d v="2023-03-13T00:00:00"/>
        <d v="2023-02-15T00:00:00"/>
        <d v="2023-04-01T00:00:00"/>
        <d v="2025-11-28T00:00:00"/>
        <d v="2025-03-03T00:00:00"/>
        <d v="2024-12-13T00:00:00"/>
        <d v="2023-08-06T00:00:00"/>
        <d v="2025-02-18T00:00:00"/>
        <d v="2024-04-13T00:00:00"/>
        <d v="2024-09-04T00:00:00"/>
        <d v="2023-08-08T00:00:00"/>
        <d v="2023-10-24T00:00:00"/>
        <d v="2024-11-23T00:00:00"/>
        <d v="2025-02-07T00:00:00"/>
        <d v="2025-11-10T00:00:00"/>
        <d v="2023-12-12T00:00:00"/>
        <d v="2024-09-23T00:00:00"/>
        <d v="2025-09-20T00:00:00"/>
        <d v="2025-09-14T00:00:00"/>
        <d v="2025-07-13T00:00:00"/>
        <d v="2023-09-18T00:00:00"/>
        <d v="2024-03-14T00:00:00"/>
        <d v="2024-06-10T00:00:00"/>
        <d v="2024-02-11T00:00:00"/>
        <d v="2025-06-24T00:00:00"/>
        <d v="2023-03-10T00:00:00"/>
        <d v="2024-05-14T00:00:00"/>
        <d v="2023-04-03T00:00:00"/>
        <d v="2023-03-17T00:00:00"/>
        <d v="2023-10-07T00:00:00"/>
        <d v="2023-07-25T00:00:00"/>
        <d v="2023-06-10T00:00:00"/>
        <d v="2024-09-03T00:00:00"/>
        <d v="2023-03-24T00:00:00"/>
        <d v="2024-02-03T00:00:00"/>
        <d v="2025-05-24T00:00:00"/>
        <d v="2025-01-17T00:00:00"/>
        <d v="2024-08-22T00:00:00"/>
        <d v="2025-03-21T00:00:00"/>
        <d v="2024-05-12T00:00:00"/>
        <d v="2024-07-15T00:00:00"/>
        <d v="2023-04-17T00:00:00"/>
      </sharedItems>
      <fieldGroup par="10" base="1">
        <rangePr groupBy="months" startDate="2023-02-15T00:00:00" endDate="2025-11-29T00:00:00"/>
        <groupItems count="14">
          <s v="&lt;15/02/2023"/>
          <s v="Jan"/>
          <s v="Feb"/>
          <s v="Mar"/>
          <s v="Apr"/>
          <s v="May"/>
          <s v="Jun"/>
          <s v="Jul"/>
          <s v="Aug"/>
          <s v="Sep"/>
          <s v="Oct"/>
          <s v="Nov"/>
          <s v="Dec"/>
          <s v="&gt;29/11/2025"/>
        </groupItems>
      </fieldGroup>
    </cacheField>
    <cacheField name="Year" numFmtId="0">
      <sharedItems containsSemiMixedTypes="0" containsString="0" containsNumber="1" containsInteger="1" minValue="2023" maxValue="2025" count="3">
        <n v="2024"/>
        <n v="2025"/>
        <n v="2023"/>
      </sharedItems>
    </cacheField>
    <cacheField name="Region" numFmtId="0">
      <sharedItems count="4">
        <s v="North"/>
        <s v="South"/>
        <s v="West"/>
        <s v="East"/>
      </sharedItems>
    </cacheField>
    <cacheField name="Category" numFmtId="0">
      <sharedItems count="3">
        <s v="Office Supplies"/>
        <s v="Technology"/>
        <s v="Furniture"/>
      </sharedItems>
    </cacheField>
    <cacheField name="Sub-Category" numFmtId="0">
      <sharedItems count="9">
        <s v="Paper"/>
        <s v="Laptop"/>
        <s v="Pen"/>
        <s v="Bookcase"/>
        <s v="Phone"/>
        <s v="Binder"/>
        <s v="Chair"/>
        <s v="Table"/>
        <s v="Accessories"/>
      </sharedItems>
    </cacheField>
    <cacheField name="Sales" numFmtId="0">
      <sharedItems containsSemiMixedTypes="0" containsString="0" containsNumber="1" minValue="607.27" maxValue="4984.04" count="50">
        <n v="3368.56"/>
        <n v="2904.37"/>
        <n v="866.18"/>
        <n v="2084.7600000000002"/>
        <n v="2384.52"/>
        <n v="4984.04"/>
        <n v="1193.07"/>
        <n v="2215.5500000000002"/>
        <n v="1004.92"/>
        <n v="4220.63"/>
        <n v="3014.04"/>
        <n v="3324.17"/>
        <n v="3671.86"/>
        <n v="870.63"/>
        <n v="1399.89"/>
        <n v="1208.29"/>
        <n v="724.94"/>
        <n v="4600.28"/>
        <n v="2638.9"/>
        <n v="2958.67"/>
        <n v="4515.96"/>
        <n v="1032.8800000000001"/>
        <n v="3363.79"/>
        <n v="2382.59"/>
        <n v="2021"/>
        <n v="1145.23"/>
        <n v="3472.51"/>
        <n v="713.23"/>
        <n v="1665.32"/>
        <n v="607.27"/>
        <n v="769.29"/>
        <n v="3536.54"/>
        <n v="4674.4399999999996"/>
        <n v="4264.55"/>
        <n v="4796.3599999999997"/>
        <n v="2106.34"/>
        <n v="2056.52"/>
        <n v="1914.63"/>
        <n v="1265.52"/>
        <n v="4304.91"/>
        <n v="1999.58"/>
        <n v="2777.82"/>
        <n v="2614.8000000000002"/>
        <n v="4053.64"/>
        <n v="3589.02"/>
        <n v="4367.0600000000004"/>
        <n v="3823.59"/>
        <n v="3772.39"/>
        <n v="3724.31"/>
        <n v="3834.24"/>
      </sharedItems>
    </cacheField>
    <cacheField name="Qty" numFmtId="0">
      <sharedItems containsSemiMixedTypes="0" containsString="0" containsNumber="1" containsInteger="1" minValue="1" maxValue="10"/>
    </cacheField>
    <cacheField name="Profit" numFmtId="0">
      <sharedItems containsSemiMixedTypes="0" containsString="0" containsNumber="1" minValue="59.4" maxValue="1058.49"/>
    </cacheField>
    <cacheField name="Quarters" numFmtId="0" databaseField="0">
      <fieldGroup base="1">
        <rangePr groupBy="quarters" startDate="2023-02-15T00:00:00" endDate="2025-11-29T00:00:00"/>
        <groupItems count="6">
          <s v="&lt;15/02/2023"/>
          <s v="Qtr1"/>
          <s v="Qtr2"/>
          <s v="Qtr3"/>
          <s v="Qtr4"/>
          <s v="&gt;29/11/2025"/>
        </groupItems>
      </fieldGroup>
    </cacheField>
    <cacheField name="Years" numFmtId="0" databaseField="0">
      <fieldGroup base="1">
        <rangePr groupBy="years" startDate="2023-02-15T00:00:00" endDate="2025-11-29T00:00:00"/>
        <groupItems count="5">
          <s v="&lt;15/02/2023"/>
          <s v="2023"/>
          <s v="2024"/>
          <s v="2025"/>
          <s v="&gt;29/11/2025"/>
        </groupItems>
      </fieldGroup>
    </cacheField>
  </cacheFields>
  <extLst>
    <ext xmlns:x14="http://schemas.microsoft.com/office/spreadsheetml/2009/9/main" uri="{725AE2AE-9491-48be-B2B4-4EB974FC3084}">
      <x14:pivotCacheDefinition pivotCacheId="7087528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x v="0"/>
    <x v="0"/>
    <x v="0"/>
    <x v="0"/>
    <x v="0"/>
    <x v="0"/>
    <n v="4"/>
    <n v="769.61"/>
  </r>
  <r>
    <n v="2"/>
    <x v="1"/>
    <x v="1"/>
    <x v="0"/>
    <x v="1"/>
    <x v="1"/>
    <x v="1"/>
    <n v="3"/>
    <n v="479.94"/>
  </r>
  <r>
    <n v="3"/>
    <x v="2"/>
    <x v="1"/>
    <x v="0"/>
    <x v="0"/>
    <x v="2"/>
    <x v="2"/>
    <n v="7"/>
    <n v="194.04"/>
  </r>
  <r>
    <n v="4"/>
    <x v="3"/>
    <x v="1"/>
    <x v="1"/>
    <x v="0"/>
    <x v="0"/>
    <x v="3"/>
    <n v="6"/>
    <n v="480.73"/>
  </r>
  <r>
    <n v="5"/>
    <x v="4"/>
    <x v="2"/>
    <x v="0"/>
    <x v="2"/>
    <x v="3"/>
    <x v="4"/>
    <n v="7"/>
    <n v="393.12"/>
  </r>
  <r>
    <n v="6"/>
    <x v="5"/>
    <x v="2"/>
    <x v="1"/>
    <x v="0"/>
    <x v="2"/>
    <x v="5"/>
    <n v="1"/>
    <n v="493.01"/>
  </r>
  <r>
    <n v="7"/>
    <x v="6"/>
    <x v="2"/>
    <x v="2"/>
    <x v="1"/>
    <x v="4"/>
    <x v="6"/>
    <n v="5"/>
    <n v="231.05"/>
  </r>
  <r>
    <n v="8"/>
    <x v="7"/>
    <x v="2"/>
    <x v="2"/>
    <x v="0"/>
    <x v="5"/>
    <x v="7"/>
    <n v="6"/>
    <n v="463.2"/>
  </r>
  <r>
    <n v="9"/>
    <x v="8"/>
    <x v="2"/>
    <x v="3"/>
    <x v="2"/>
    <x v="6"/>
    <x v="8"/>
    <n v="2"/>
    <n v="72.290000000000006"/>
  </r>
  <r>
    <n v="10"/>
    <x v="9"/>
    <x v="1"/>
    <x v="1"/>
    <x v="0"/>
    <x v="0"/>
    <x v="9"/>
    <n v="1"/>
    <n v="658.81"/>
  </r>
  <r>
    <n v="11"/>
    <x v="10"/>
    <x v="1"/>
    <x v="1"/>
    <x v="2"/>
    <x v="7"/>
    <x v="10"/>
    <n v="10"/>
    <n v="508.82"/>
  </r>
  <r>
    <n v="12"/>
    <x v="11"/>
    <x v="0"/>
    <x v="1"/>
    <x v="1"/>
    <x v="4"/>
    <x v="11"/>
    <n v="1"/>
    <n v="219.09"/>
  </r>
  <r>
    <n v="13"/>
    <x v="12"/>
    <x v="2"/>
    <x v="1"/>
    <x v="0"/>
    <x v="2"/>
    <x v="12"/>
    <n v="3"/>
    <n v="504.09"/>
  </r>
  <r>
    <n v="14"/>
    <x v="13"/>
    <x v="1"/>
    <x v="0"/>
    <x v="1"/>
    <x v="1"/>
    <x v="13"/>
    <n v="7"/>
    <n v="59.4"/>
  </r>
  <r>
    <n v="15"/>
    <x v="2"/>
    <x v="1"/>
    <x v="3"/>
    <x v="2"/>
    <x v="6"/>
    <x v="14"/>
    <n v="5"/>
    <n v="130.03"/>
  </r>
  <r>
    <n v="16"/>
    <x v="14"/>
    <x v="0"/>
    <x v="0"/>
    <x v="2"/>
    <x v="7"/>
    <x v="15"/>
    <n v="10"/>
    <n v="146.9"/>
  </r>
  <r>
    <n v="17"/>
    <x v="15"/>
    <x v="0"/>
    <x v="3"/>
    <x v="1"/>
    <x v="8"/>
    <x v="16"/>
    <n v="10"/>
    <n v="142.43"/>
  </r>
  <r>
    <n v="18"/>
    <x v="16"/>
    <x v="2"/>
    <x v="0"/>
    <x v="2"/>
    <x v="7"/>
    <x v="17"/>
    <n v="1"/>
    <n v="757.85"/>
  </r>
  <r>
    <n v="19"/>
    <x v="17"/>
    <x v="2"/>
    <x v="1"/>
    <x v="1"/>
    <x v="4"/>
    <x v="18"/>
    <n v="5"/>
    <n v="392.75"/>
  </r>
  <r>
    <n v="20"/>
    <x v="18"/>
    <x v="0"/>
    <x v="0"/>
    <x v="2"/>
    <x v="7"/>
    <x v="19"/>
    <n v="4"/>
    <n v="263.19"/>
  </r>
  <r>
    <n v="21"/>
    <x v="19"/>
    <x v="1"/>
    <x v="2"/>
    <x v="0"/>
    <x v="0"/>
    <x v="20"/>
    <n v="1"/>
    <n v="398.98"/>
  </r>
  <r>
    <n v="22"/>
    <x v="20"/>
    <x v="1"/>
    <x v="1"/>
    <x v="1"/>
    <x v="1"/>
    <x v="21"/>
    <n v="6"/>
    <n v="116.66"/>
  </r>
  <r>
    <n v="23"/>
    <x v="21"/>
    <x v="2"/>
    <x v="3"/>
    <x v="0"/>
    <x v="5"/>
    <x v="22"/>
    <n v="8"/>
    <n v="511.2"/>
  </r>
  <r>
    <n v="24"/>
    <x v="22"/>
    <x v="0"/>
    <x v="3"/>
    <x v="0"/>
    <x v="2"/>
    <x v="23"/>
    <n v="4"/>
    <n v="252.06"/>
  </r>
  <r>
    <n v="25"/>
    <x v="23"/>
    <x v="1"/>
    <x v="1"/>
    <x v="1"/>
    <x v="1"/>
    <x v="24"/>
    <n v="1"/>
    <n v="291.47000000000003"/>
  </r>
  <r>
    <n v="26"/>
    <x v="24"/>
    <x v="1"/>
    <x v="0"/>
    <x v="2"/>
    <x v="3"/>
    <x v="25"/>
    <n v="5"/>
    <n v="204.92"/>
  </r>
  <r>
    <n v="27"/>
    <x v="25"/>
    <x v="1"/>
    <x v="3"/>
    <x v="1"/>
    <x v="8"/>
    <x v="26"/>
    <n v="2"/>
    <n v="504.79"/>
  </r>
  <r>
    <n v="28"/>
    <x v="26"/>
    <x v="2"/>
    <x v="0"/>
    <x v="1"/>
    <x v="8"/>
    <x v="27"/>
    <n v="1"/>
    <n v="151.03"/>
  </r>
  <r>
    <n v="29"/>
    <x v="27"/>
    <x v="0"/>
    <x v="1"/>
    <x v="2"/>
    <x v="7"/>
    <x v="28"/>
    <n v="1"/>
    <n v="158.63999999999999"/>
  </r>
  <r>
    <n v="30"/>
    <x v="28"/>
    <x v="0"/>
    <x v="0"/>
    <x v="1"/>
    <x v="1"/>
    <x v="29"/>
    <n v="7"/>
    <n v="148.77000000000001"/>
  </r>
  <r>
    <n v="31"/>
    <x v="29"/>
    <x v="0"/>
    <x v="3"/>
    <x v="1"/>
    <x v="1"/>
    <x v="30"/>
    <n v="7"/>
    <n v="142.31"/>
  </r>
  <r>
    <n v="32"/>
    <x v="30"/>
    <x v="1"/>
    <x v="2"/>
    <x v="2"/>
    <x v="6"/>
    <x v="31"/>
    <n v="2"/>
    <n v="465.19"/>
  </r>
  <r>
    <n v="33"/>
    <x v="31"/>
    <x v="2"/>
    <x v="2"/>
    <x v="2"/>
    <x v="7"/>
    <x v="32"/>
    <n v="6"/>
    <n v="1020.81"/>
  </r>
  <r>
    <n v="34"/>
    <x v="32"/>
    <x v="0"/>
    <x v="3"/>
    <x v="0"/>
    <x v="5"/>
    <x v="33"/>
    <n v="10"/>
    <n v="839.49"/>
  </r>
  <r>
    <n v="35"/>
    <x v="33"/>
    <x v="2"/>
    <x v="2"/>
    <x v="1"/>
    <x v="8"/>
    <x v="34"/>
    <n v="10"/>
    <n v="1058.49"/>
  </r>
  <r>
    <n v="36"/>
    <x v="34"/>
    <x v="2"/>
    <x v="0"/>
    <x v="1"/>
    <x v="8"/>
    <x v="35"/>
    <n v="6"/>
    <n v="282.95"/>
  </r>
  <r>
    <n v="37"/>
    <x v="35"/>
    <x v="2"/>
    <x v="3"/>
    <x v="0"/>
    <x v="2"/>
    <x v="36"/>
    <n v="8"/>
    <n v="153.69999999999999"/>
  </r>
  <r>
    <n v="38"/>
    <x v="36"/>
    <x v="2"/>
    <x v="0"/>
    <x v="2"/>
    <x v="6"/>
    <x v="37"/>
    <n v="3"/>
    <n v="273.07"/>
  </r>
  <r>
    <n v="39"/>
    <x v="37"/>
    <x v="2"/>
    <x v="0"/>
    <x v="0"/>
    <x v="5"/>
    <x v="38"/>
    <n v="2"/>
    <n v="151.94999999999999"/>
  </r>
  <r>
    <n v="40"/>
    <x v="38"/>
    <x v="0"/>
    <x v="1"/>
    <x v="0"/>
    <x v="0"/>
    <x v="39"/>
    <n v="5"/>
    <n v="949.66"/>
  </r>
  <r>
    <n v="41"/>
    <x v="39"/>
    <x v="2"/>
    <x v="3"/>
    <x v="1"/>
    <x v="4"/>
    <x v="40"/>
    <n v="9"/>
    <n v="112.66"/>
  </r>
  <r>
    <n v="42"/>
    <x v="40"/>
    <x v="0"/>
    <x v="2"/>
    <x v="2"/>
    <x v="3"/>
    <x v="41"/>
    <n v="8"/>
    <n v="240.96"/>
  </r>
  <r>
    <n v="43"/>
    <x v="41"/>
    <x v="1"/>
    <x v="2"/>
    <x v="1"/>
    <x v="1"/>
    <x v="42"/>
    <n v="10"/>
    <n v="451.15"/>
  </r>
  <r>
    <n v="44"/>
    <x v="42"/>
    <x v="1"/>
    <x v="2"/>
    <x v="2"/>
    <x v="6"/>
    <x v="43"/>
    <n v="8"/>
    <n v="972.59"/>
  </r>
  <r>
    <n v="45"/>
    <x v="43"/>
    <x v="0"/>
    <x v="0"/>
    <x v="0"/>
    <x v="0"/>
    <x v="44"/>
    <n v="3"/>
    <n v="205.52"/>
  </r>
  <r>
    <n v="46"/>
    <x v="25"/>
    <x v="1"/>
    <x v="3"/>
    <x v="2"/>
    <x v="3"/>
    <x v="45"/>
    <n v="2"/>
    <n v="520.53"/>
  </r>
  <r>
    <n v="47"/>
    <x v="44"/>
    <x v="1"/>
    <x v="3"/>
    <x v="2"/>
    <x v="7"/>
    <x v="46"/>
    <n v="5"/>
    <n v="197.51"/>
  </r>
  <r>
    <n v="48"/>
    <x v="45"/>
    <x v="0"/>
    <x v="2"/>
    <x v="1"/>
    <x v="4"/>
    <x v="47"/>
    <n v="7"/>
    <n v="867.95"/>
  </r>
  <r>
    <n v="49"/>
    <x v="46"/>
    <x v="0"/>
    <x v="3"/>
    <x v="2"/>
    <x v="6"/>
    <x v="48"/>
    <n v="5"/>
    <n v="832.54"/>
  </r>
  <r>
    <n v="50"/>
    <x v="47"/>
    <x v="2"/>
    <x v="2"/>
    <x v="0"/>
    <x v="0"/>
    <x v="49"/>
    <n v="5"/>
    <n v="57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D3A362-EC48-4234-A796-9C1955A5511F}" name="PivotTable15"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
  <location ref="J3:K7" firstHeaderRow="1" firstDataRow="1" firstDataCol="1"/>
  <pivotFields count="11">
    <pivotField showAll="0"/>
    <pivotField numFmtId="164" showAll="0">
      <items count="15">
        <item x="0"/>
        <item x="1"/>
        <item x="2"/>
        <item x="3"/>
        <item x="4"/>
        <item x="5"/>
        <item x="6"/>
        <item x="7"/>
        <item x="8"/>
        <item x="9"/>
        <item x="10"/>
        <item x="11"/>
        <item x="12"/>
        <item x="13"/>
        <item t="default"/>
      </items>
    </pivotField>
    <pivotField showAll="0"/>
    <pivotField showAll="0">
      <items count="5">
        <item x="3"/>
        <item x="1"/>
        <item x="0"/>
        <item x="2"/>
        <item t="default"/>
      </items>
    </pivotField>
    <pivotField axis="axisRow" showAll="0">
      <items count="4">
        <item x="2"/>
        <item x="0"/>
        <item x="1"/>
        <item t="default"/>
      </items>
    </pivotField>
    <pivotField showAll="0"/>
    <pivotField dataField="1" showAll="0"/>
    <pivotField showAll="0"/>
    <pivotField showAll="0"/>
    <pivotField showAll="0" defaultSubtotal="0"/>
    <pivotField showAll="0" defaultSubtotal="0"/>
  </pivotFields>
  <rowFields count="1">
    <field x="4"/>
  </rowFields>
  <rowItems count="4">
    <i>
      <x/>
    </i>
    <i>
      <x v="1"/>
    </i>
    <i>
      <x v="2"/>
    </i>
    <i t="grand">
      <x/>
    </i>
  </rowItems>
  <colItems count="1">
    <i/>
  </colItems>
  <dataFields count="1">
    <dataField name="Sum of Sales" fld="6" baseField="0" baseItem="0"/>
  </dataFields>
  <chartFormats count="5">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B162B1-4B93-4729-9EE4-6AAC9ED35942}" name="PivotTable14"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8">
  <location ref="G3:H8" firstHeaderRow="1" firstDataRow="1" firstDataCol="1"/>
  <pivotFields count="11">
    <pivotField showAll="0"/>
    <pivotField numFmtId="164" showAll="0">
      <items count="15">
        <item x="0"/>
        <item x="1"/>
        <item x="2"/>
        <item x="3"/>
        <item x="4"/>
        <item x="5"/>
        <item x="6"/>
        <item x="7"/>
        <item x="8"/>
        <item x="9"/>
        <item x="10"/>
        <item x="11"/>
        <item x="12"/>
        <item x="13"/>
        <item t="default"/>
      </items>
    </pivotField>
    <pivotField showAll="0"/>
    <pivotField axis="axisRow" showAll="0">
      <items count="5">
        <item x="3"/>
        <item x="1"/>
        <item x="0"/>
        <item x="2"/>
        <item t="default"/>
      </items>
    </pivotField>
    <pivotField showAll="0"/>
    <pivotField showAll="0"/>
    <pivotField dataField="1" showAll="0"/>
    <pivotField showAll="0"/>
    <pivotField showAll="0"/>
    <pivotField showAll="0" defaultSubtotal="0"/>
    <pivotField showAll="0" defaultSubtotal="0"/>
  </pivotFields>
  <rowFields count="1">
    <field x="3"/>
  </rowFields>
  <rowItems count="5">
    <i>
      <x/>
    </i>
    <i>
      <x v="1"/>
    </i>
    <i>
      <x v="2"/>
    </i>
    <i>
      <x v="3"/>
    </i>
    <i t="grand">
      <x/>
    </i>
  </rowItems>
  <colItems count="1">
    <i/>
  </colItems>
  <dataFields count="1">
    <dataField name="Sum of Sales" fld="6"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D47456-EBD1-4406-AB7C-27F6490D41D0}" name="PivotTable1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8">
  <location ref="D3:E13" firstHeaderRow="1" firstDataRow="1" firstDataCol="1"/>
  <pivotFields count="11">
    <pivotField showAll="0"/>
    <pivotField numFmtId="164" showAll="0">
      <items count="15">
        <item x="0"/>
        <item x="1"/>
        <item x="2"/>
        <item x="3"/>
        <item x="4"/>
        <item x="5"/>
        <item x="6"/>
        <item x="7"/>
        <item x="8"/>
        <item x="9"/>
        <item x="10"/>
        <item x="11"/>
        <item x="12"/>
        <item x="13"/>
        <item t="default"/>
      </items>
    </pivotField>
    <pivotField showAll="0"/>
    <pivotField showAll="0">
      <items count="5">
        <item x="3"/>
        <item x="1"/>
        <item x="0"/>
        <item x="2"/>
        <item t="default"/>
      </items>
    </pivotField>
    <pivotField showAll="0"/>
    <pivotField axis="axisRow" showAll="0">
      <items count="10">
        <item x="1"/>
        <item x="8"/>
        <item x="5"/>
        <item x="3"/>
        <item x="6"/>
        <item x="0"/>
        <item x="2"/>
        <item x="4"/>
        <item x="7"/>
        <item t="default"/>
      </items>
    </pivotField>
    <pivotField dataField="1" showAll="0"/>
    <pivotField showAll="0"/>
    <pivotField showAll="0"/>
    <pivotField showAll="0" defaultSubtotal="0"/>
    <pivotField showAll="0" defaultSubtotal="0"/>
  </pivotFields>
  <rowFields count="1">
    <field x="5"/>
  </rowFields>
  <rowItems count="10">
    <i>
      <x/>
    </i>
    <i>
      <x v="1"/>
    </i>
    <i>
      <x v="2"/>
    </i>
    <i>
      <x v="3"/>
    </i>
    <i>
      <x v="4"/>
    </i>
    <i>
      <x v="5"/>
    </i>
    <i>
      <x v="6"/>
    </i>
    <i>
      <x v="7"/>
    </i>
    <i>
      <x v="8"/>
    </i>
    <i t="grand">
      <x/>
    </i>
  </rowItems>
  <colItems count="1">
    <i/>
  </colItems>
  <dataFields count="1">
    <dataField name="Sum of Sales" fld="6" baseField="0" baseItem="0"/>
  </dataFields>
  <chartFormats count="3">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AC848C-0C05-446B-BF95-9F44CD200700}" name="PivotTable1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4">
  <location ref="A3:B7" firstHeaderRow="1" firstDataRow="1" firstDataCol="1"/>
  <pivotFields count="11">
    <pivotField showAll="0"/>
    <pivotField numFmtId="164" showAll="0">
      <items count="15">
        <item x="0"/>
        <item x="1"/>
        <item x="2"/>
        <item x="3"/>
        <item x="4"/>
        <item x="5"/>
        <item x="6"/>
        <item x="7"/>
        <item x="8"/>
        <item x="9"/>
        <item x="10"/>
        <item x="11"/>
        <item x="12"/>
        <item x="13"/>
        <item t="default"/>
      </items>
    </pivotField>
    <pivotField axis="axisRow" showAll="0">
      <items count="4">
        <item x="2"/>
        <item x="0"/>
        <item x="1"/>
        <item t="default"/>
      </items>
    </pivotField>
    <pivotField showAll="0">
      <items count="5">
        <item x="3"/>
        <item x="1"/>
        <item x="0"/>
        <item x="2"/>
        <item t="default"/>
      </items>
    </pivotField>
    <pivotField showAll="0"/>
    <pivotField showAll="0"/>
    <pivotField dataField="1" showAll="0"/>
    <pivotField showAll="0"/>
    <pivotField showAll="0"/>
    <pivotField showAll="0" defaultSubtotal="0"/>
    <pivotField showAll="0" defaultSubtotal="0"/>
  </pivotFields>
  <rowFields count="1">
    <field x="2"/>
  </rowFields>
  <rowItems count="4">
    <i>
      <x/>
    </i>
    <i>
      <x v="1"/>
    </i>
    <i>
      <x v="2"/>
    </i>
    <i t="grand">
      <x/>
    </i>
  </rowItems>
  <colItems count="1">
    <i/>
  </colItems>
  <dataFields count="1">
    <dataField name="Sum of Sales" fld="6" baseField="0" baseItem="0"/>
  </dataFields>
  <chartFormats count="3">
    <chartFormat chart="4"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43B3057-A9DE-47A2-9E9C-851B32B70815}" sourceName="Region">
  <pivotTables>
    <pivotTable tabId="2" name="PivotTable12"/>
    <pivotTable tabId="2" name="PivotTable13"/>
    <pivotTable tabId="2" name="PivotTable14"/>
    <pivotTable tabId="2" name="PivotTable15"/>
  </pivotTables>
  <data>
    <tabular pivotCacheId="708752860">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1B562A6-2350-473E-83B6-189FC58405C7}"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F02133-AA79-4515-9654-2D29926C83DF}" name="Table1" displayName="Table1" ref="A3:I54" totalsRowCount="1" headerRowDxfId="19" dataDxfId="18">
  <autoFilter ref="A3:I53" xr:uid="{2FACB5D1-9D02-413F-95A8-341F12E9AF1A}"/>
  <tableColumns count="9">
    <tableColumn id="1" xr3:uid="{CF617785-75D3-4693-8A82-8269C22DEAED}" name="ID" dataDxfId="17" totalsRowDxfId="8"/>
    <tableColumn id="2" xr3:uid="{F74B3A9B-F57A-4167-B285-4FF1A0A7D4BB}" name="Order date" dataDxfId="16" totalsRowDxfId="7"/>
    <tableColumn id="3" xr3:uid="{FF90DC2C-7540-4F21-98DA-96D04A421279}" name="Year" dataDxfId="15" totalsRowDxfId="6"/>
    <tableColumn id="4" xr3:uid="{A1C60EB3-CD54-42C6-98CA-A08F5524E3CB}" name="Region" dataDxfId="14" totalsRowDxfId="5"/>
    <tableColumn id="5" xr3:uid="{ED99198B-10BB-469E-83E4-0C360107C0B9}" name="Category" dataDxfId="13" totalsRowDxfId="4"/>
    <tableColumn id="6" xr3:uid="{C7E9CBA7-DB10-4CE1-BA21-480FF9005F22}" name="Sub-Category" dataDxfId="12" totalsRowDxfId="3"/>
    <tableColumn id="7" xr3:uid="{840773DA-BBE5-4377-93D5-F9225A1249BE}" name="Sales" totalsRowFunction="custom" dataDxfId="11" totalsRowDxfId="2">
      <totalsRowFormula>SUM(Table1[Sales])</totalsRowFormula>
    </tableColumn>
    <tableColumn id="8" xr3:uid="{5A5A531D-912F-4D58-A6CD-665942907ADB}" name="Qty" dataDxfId="10" totalsRowDxfId="1"/>
    <tableColumn id="9" xr3:uid="{B2390A24-F1BA-4D64-8F47-6C820641B277}" name="Profit" totalsRowFunction="custom" dataDxfId="9" totalsRowDxfId="0">
      <totalsRowFormula>SUM(Table1[Profit])</totalsRowFormula>
    </tableColumn>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47292E6-1B1B-4EED-AD59-2FBA34F7F807}" sourceName="Order date">
  <pivotTables>
    <pivotTable tabId="2" name="PivotTable12"/>
    <pivotTable tabId="2" name="PivotTable13"/>
    <pivotTable tabId="2" name="PivotTable14"/>
    <pivotTable tabId="2" name="PivotTable15"/>
  </pivotTables>
  <state minimalRefreshVersion="6" lastRefreshVersion="6" pivotCacheId="708752860"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CB12465-AB9D-49B6-8E3E-6DC6378FBBC9}" cache="NativeTimeline_Order_date" caption="Order date" level="2" selectionLevel="2" scrollPosition="2025-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ECC31-E16E-463C-B85B-852F0BC8FB8F}">
  <dimension ref="A3:I54"/>
  <sheetViews>
    <sheetView topLeftCell="A20" workbookViewId="0">
      <selection activeCell="G54" sqref="G54"/>
    </sheetView>
  </sheetViews>
  <sheetFormatPr defaultRowHeight="15"/>
  <cols>
    <col min="2" max="2" width="14" customWidth="1"/>
    <col min="4" max="4" width="10" customWidth="1"/>
    <col min="5" max="5" width="15.28515625" bestFit="1" customWidth="1"/>
    <col min="6" max="6" width="16.140625" customWidth="1"/>
    <col min="9" max="9" width="12.5703125" bestFit="1" customWidth="1"/>
  </cols>
  <sheetData>
    <row r="3" spans="1:9" ht="15.75">
      <c r="A3" s="1" t="s">
        <v>0</v>
      </c>
      <c r="B3" s="1" t="s">
        <v>1</v>
      </c>
      <c r="C3" s="1" t="s">
        <v>2</v>
      </c>
      <c r="D3" s="1" t="s">
        <v>3</v>
      </c>
      <c r="E3" s="1" t="s">
        <v>4</v>
      </c>
      <c r="F3" s="1" t="s">
        <v>5</v>
      </c>
      <c r="G3" s="1" t="s">
        <v>6</v>
      </c>
      <c r="H3" s="1" t="s">
        <v>7</v>
      </c>
      <c r="I3" s="1" t="s">
        <v>8</v>
      </c>
    </row>
    <row r="4" spans="1:9">
      <c r="A4" s="2">
        <v>1</v>
      </c>
      <c r="B4" s="3">
        <v>45304</v>
      </c>
      <c r="C4" s="2">
        <v>2024</v>
      </c>
      <c r="D4" s="2" t="s">
        <v>9</v>
      </c>
      <c r="E4" s="2" t="s">
        <v>10</v>
      </c>
      <c r="F4" s="2" t="s">
        <v>11</v>
      </c>
      <c r="G4" s="2">
        <v>3368.56</v>
      </c>
      <c r="H4" s="2">
        <v>4</v>
      </c>
      <c r="I4" s="2">
        <v>769.61</v>
      </c>
    </row>
    <row r="5" spans="1:9">
      <c r="A5" s="2">
        <v>2</v>
      </c>
      <c r="B5" s="3">
        <v>45698</v>
      </c>
      <c r="C5" s="2">
        <v>2025</v>
      </c>
      <c r="D5" s="2" t="s">
        <v>9</v>
      </c>
      <c r="E5" s="2" t="s">
        <v>12</v>
      </c>
      <c r="F5" s="2" t="s">
        <v>13</v>
      </c>
      <c r="G5" s="2">
        <v>2904.37</v>
      </c>
      <c r="H5" s="2">
        <v>3</v>
      </c>
      <c r="I5" s="2">
        <v>479.94</v>
      </c>
    </row>
    <row r="6" spans="1:9">
      <c r="A6" s="2">
        <v>3</v>
      </c>
      <c r="B6" s="3">
        <v>45771</v>
      </c>
      <c r="C6" s="2">
        <v>2025</v>
      </c>
      <c r="D6" s="2" t="s">
        <v>9</v>
      </c>
      <c r="E6" s="2" t="s">
        <v>10</v>
      </c>
      <c r="F6" s="2" t="s">
        <v>14</v>
      </c>
      <c r="G6" s="2">
        <v>866.18</v>
      </c>
      <c r="H6" s="2">
        <v>7</v>
      </c>
      <c r="I6" s="2">
        <v>194.04</v>
      </c>
    </row>
    <row r="7" spans="1:9">
      <c r="A7" s="2">
        <v>4</v>
      </c>
      <c r="B7" s="3">
        <v>45952</v>
      </c>
      <c r="C7" s="2">
        <v>2025</v>
      </c>
      <c r="D7" s="2" t="s">
        <v>15</v>
      </c>
      <c r="E7" s="2" t="s">
        <v>10</v>
      </c>
      <c r="F7" s="2" t="s">
        <v>11</v>
      </c>
      <c r="G7" s="2">
        <v>2084.7600000000002</v>
      </c>
      <c r="H7" s="2">
        <v>6</v>
      </c>
      <c r="I7" s="2">
        <v>480.73</v>
      </c>
    </row>
    <row r="8" spans="1:9">
      <c r="A8" s="2">
        <v>5</v>
      </c>
      <c r="B8" s="3">
        <v>45188</v>
      </c>
      <c r="C8" s="2">
        <v>2023</v>
      </c>
      <c r="D8" s="2" t="s">
        <v>9</v>
      </c>
      <c r="E8" s="2" t="s">
        <v>16</v>
      </c>
      <c r="F8" s="2" t="s">
        <v>17</v>
      </c>
      <c r="G8" s="2">
        <v>2384.52</v>
      </c>
      <c r="H8" s="2">
        <v>7</v>
      </c>
      <c r="I8" s="2">
        <v>393.12</v>
      </c>
    </row>
    <row r="9" spans="1:9">
      <c r="A9" s="2">
        <v>6</v>
      </c>
      <c r="B9" s="3">
        <v>45109</v>
      </c>
      <c r="C9" s="2">
        <v>2023</v>
      </c>
      <c r="D9" s="2" t="s">
        <v>15</v>
      </c>
      <c r="E9" s="2" t="s">
        <v>10</v>
      </c>
      <c r="F9" s="2" t="s">
        <v>14</v>
      </c>
      <c r="G9" s="2">
        <v>4984.04</v>
      </c>
      <c r="H9" s="2">
        <v>1</v>
      </c>
      <c r="I9" s="2">
        <v>493.01</v>
      </c>
    </row>
    <row r="10" spans="1:9">
      <c r="A10" s="2">
        <v>7</v>
      </c>
      <c r="B10" s="3">
        <v>44998</v>
      </c>
      <c r="C10" s="2">
        <v>2023</v>
      </c>
      <c r="D10" s="2" t="s">
        <v>18</v>
      </c>
      <c r="E10" s="2" t="s">
        <v>12</v>
      </c>
      <c r="F10" s="2" t="s">
        <v>19</v>
      </c>
      <c r="G10" s="2">
        <v>1193.07</v>
      </c>
      <c r="H10" s="2">
        <v>5</v>
      </c>
      <c r="I10" s="2">
        <v>231.05</v>
      </c>
    </row>
    <row r="11" spans="1:9">
      <c r="A11" s="2">
        <v>8</v>
      </c>
      <c r="B11" s="3">
        <v>44972</v>
      </c>
      <c r="C11" s="2">
        <v>2023</v>
      </c>
      <c r="D11" s="2" t="s">
        <v>18</v>
      </c>
      <c r="E11" s="2" t="s">
        <v>10</v>
      </c>
      <c r="F11" s="2" t="s">
        <v>20</v>
      </c>
      <c r="G11" s="2">
        <v>2215.5500000000002</v>
      </c>
      <c r="H11" s="2">
        <v>6</v>
      </c>
      <c r="I11" s="2">
        <v>463.2</v>
      </c>
    </row>
    <row r="12" spans="1:9">
      <c r="A12" s="2">
        <v>9</v>
      </c>
      <c r="B12" s="3">
        <v>45017</v>
      </c>
      <c r="C12" s="2">
        <v>2023</v>
      </c>
      <c r="D12" s="2" t="s">
        <v>21</v>
      </c>
      <c r="E12" s="2" t="s">
        <v>16</v>
      </c>
      <c r="F12" s="2" t="s">
        <v>22</v>
      </c>
      <c r="G12" s="2">
        <v>1004.92</v>
      </c>
      <c r="H12" s="2">
        <v>2</v>
      </c>
      <c r="I12" s="2">
        <v>72.290000000000006</v>
      </c>
    </row>
    <row r="13" spans="1:9">
      <c r="A13" s="2">
        <v>10</v>
      </c>
      <c r="B13" s="3">
        <v>45989</v>
      </c>
      <c r="C13" s="2">
        <v>2025</v>
      </c>
      <c r="D13" s="2" t="s">
        <v>15</v>
      </c>
      <c r="E13" s="2" t="s">
        <v>10</v>
      </c>
      <c r="F13" s="2" t="s">
        <v>11</v>
      </c>
      <c r="G13" s="2">
        <v>4220.63</v>
      </c>
      <c r="H13" s="2">
        <v>1</v>
      </c>
      <c r="I13" s="2">
        <v>658.81</v>
      </c>
    </row>
    <row r="14" spans="1:9">
      <c r="A14" s="2">
        <v>11</v>
      </c>
      <c r="B14" s="3">
        <v>45719</v>
      </c>
      <c r="C14" s="2">
        <v>2025</v>
      </c>
      <c r="D14" s="2" t="s">
        <v>15</v>
      </c>
      <c r="E14" s="2" t="s">
        <v>16</v>
      </c>
      <c r="F14" s="2" t="s">
        <v>23</v>
      </c>
      <c r="G14" s="2">
        <v>3014.04</v>
      </c>
      <c r="H14" s="2">
        <v>10</v>
      </c>
      <c r="I14" s="2">
        <v>508.82</v>
      </c>
    </row>
    <row r="15" spans="1:9">
      <c r="A15" s="2">
        <v>12</v>
      </c>
      <c r="B15" s="3">
        <v>45639</v>
      </c>
      <c r="C15" s="2">
        <v>2024</v>
      </c>
      <c r="D15" s="2" t="s">
        <v>15</v>
      </c>
      <c r="E15" s="2" t="s">
        <v>12</v>
      </c>
      <c r="F15" s="2" t="s">
        <v>19</v>
      </c>
      <c r="G15" s="2">
        <v>3324.17</v>
      </c>
      <c r="H15" s="2">
        <v>1</v>
      </c>
      <c r="I15" s="2">
        <v>219.09</v>
      </c>
    </row>
    <row r="16" spans="1:9">
      <c r="A16" s="2">
        <v>13</v>
      </c>
      <c r="B16" s="3">
        <v>45144</v>
      </c>
      <c r="C16" s="2">
        <v>2023</v>
      </c>
      <c r="D16" s="2" t="s">
        <v>15</v>
      </c>
      <c r="E16" s="2" t="s">
        <v>10</v>
      </c>
      <c r="F16" s="2" t="s">
        <v>14</v>
      </c>
      <c r="G16" s="2">
        <v>3671.86</v>
      </c>
      <c r="H16" s="2">
        <v>3</v>
      </c>
      <c r="I16" s="2">
        <v>504.09</v>
      </c>
    </row>
    <row r="17" spans="1:9">
      <c r="A17" s="2">
        <v>14</v>
      </c>
      <c r="B17" s="3">
        <v>45706</v>
      </c>
      <c r="C17" s="2">
        <v>2025</v>
      </c>
      <c r="D17" s="2" t="s">
        <v>9</v>
      </c>
      <c r="E17" s="2" t="s">
        <v>12</v>
      </c>
      <c r="F17" s="2" t="s">
        <v>13</v>
      </c>
      <c r="G17" s="2">
        <v>870.63</v>
      </c>
      <c r="H17" s="2">
        <v>7</v>
      </c>
      <c r="I17" s="2">
        <v>59.4</v>
      </c>
    </row>
    <row r="18" spans="1:9">
      <c r="A18" s="2">
        <v>15</v>
      </c>
      <c r="B18" s="3">
        <v>45771</v>
      </c>
      <c r="C18" s="2">
        <v>2025</v>
      </c>
      <c r="D18" s="2" t="s">
        <v>21</v>
      </c>
      <c r="E18" s="2" t="s">
        <v>16</v>
      </c>
      <c r="F18" s="2" t="s">
        <v>22</v>
      </c>
      <c r="G18" s="2">
        <v>1399.89</v>
      </c>
      <c r="H18" s="2">
        <v>5</v>
      </c>
      <c r="I18" s="2">
        <v>130.03</v>
      </c>
    </row>
    <row r="19" spans="1:9">
      <c r="A19" s="2">
        <v>16</v>
      </c>
      <c r="B19" s="3">
        <v>45395</v>
      </c>
      <c r="C19" s="2">
        <v>2024</v>
      </c>
      <c r="D19" s="2" t="s">
        <v>9</v>
      </c>
      <c r="E19" s="2" t="s">
        <v>16</v>
      </c>
      <c r="F19" s="2" t="s">
        <v>23</v>
      </c>
      <c r="G19" s="2">
        <v>1208.29</v>
      </c>
      <c r="H19" s="2">
        <v>10</v>
      </c>
      <c r="I19" s="2">
        <v>146.9</v>
      </c>
    </row>
    <row r="20" spans="1:9">
      <c r="A20" s="2">
        <v>17</v>
      </c>
      <c r="B20" s="3">
        <v>45539</v>
      </c>
      <c r="C20" s="2">
        <v>2024</v>
      </c>
      <c r="D20" s="2" t="s">
        <v>21</v>
      </c>
      <c r="E20" s="2" t="s">
        <v>12</v>
      </c>
      <c r="F20" s="2" t="s">
        <v>24</v>
      </c>
      <c r="G20" s="2">
        <v>724.94</v>
      </c>
      <c r="H20" s="2">
        <v>10</v>
      </c>
      <c r="I20" s="2">
        <v>142.43</v>
      </c>
    </row>
    <row r="21" spans="1:9">
      <c r="A21" s="2">
        <v>18</v>
      </c>
      <c r="B21" s="3">
        <v>45146</v>
      </c>
      <c r="C21" s="2">
        <v>2023</v>
      </c>
      <c r="D21" s="2" t="s">
        <v>9</v>
      </c>
      <c r="E21" s="2" t="s">
        <v>16</v>
      </c>
      <c r="F21" s="2" t="s">
        <v>23</v>
      </c>
      <c r="G21" s="2">
        <v>4600.28</v>
      </c>
      <c r="H21" s="2">
        <v>1</v>
      </c>
      <c r="I21" s="2">
        <v>757.85</v>
      </c>
    </row>
    <row r="22" spans="1:9">
      <c r="A22" s="2">
        <v>19</v>
      </c>
      <c r="B22" s="3">
        <v>45223</v>
      </c>
      <c r="C22" s="2">
        <v>2023</v>
      </c>
      <c r="D22" s="2" t="s">
        <v>15</v>
      </c>
      <c r="E22" s="2" t="s">
        <v>12</v>
      </c>
      <c r="F22" s="2" t="s">
        <v>19</v>
      </c>
      <c r="G22" s="2">
        <v>2638.9</v>
      </c>
      <c r="H22" s="2">
        <v>5</v>
      </c>
      <c r="I22" s="2">
        <v>392.75</v>
      </c>
    </row>
    <row r="23" spans="1:9">
      <c r="A23" s="2">
        <v>20</v>
      </c>
      <c r="B23" s="3">
        <v>45619</v>
      </c>
      <c r="C23" s="2">
        <v>2024</v>
      </c>
      <c r="D23" s="2" t="s">
        <v>9</v>
      </c>
      <c r="E23" s="2" t="s">
        <v>16</v>
      </c>
      <c r="F23" s="2" t="s">
        <v>23</v>
      </c>
      <c r="G23" s="2">
        <v>2958.67</v>
      </c>
      <c r="H23" s="2">
        <v>4</v>
      </c>
      <c r="I23" s="2">
        <v>263.19</v>
      </c>
    </row>
    <row r="24" spans="1:9">
      <c r="A24" s="2">
        <v>21</v>
      </c>
      <c r="B24" s="3">
        <v>45695</v>
      </c>
      <c r="C24" s="2">
        <v>2025</v>
      </c>
      <c r="D24" s="2" t="s">
        <v>18</v>
      </c>
      <c r="E24" s="2" t="s">
        <v>10</v>
      </c>
      <c r="F24" s="2" t="s">
        <v>11</v>
      </c>
      <c r="G24" s="2">
        <v>4515.96</v>
      </c>
      <c r="H24" s="2">
        <v>1</v>
      </c>
      <c r="I24" s="2">
        <v>398.98</v>
      </c>
    </row>
    <row r="25" spans="1:9">
      <c r="A25" s="2">
        <v>22</v>
      </c>
      <c r="B25" s="3">
        <v>45971</v>
      </c>
      <c r="C25" s="2">
        <v>2025</v>
      </c>
      <c r="D25" s="2" t="s">
        <v>15</v>
      </c>
      <c r="E25" s="2" t="s">
        <v>12</v>
      </c>
      <c r="F25" s="2" t="s">
        <v>13</v>
      </c>
      <c r="G25" s="2">
        <v>1032.8800000000001</v>
      </c>
      <c r="H25" s="2">
        <v>6</v>
      </c>
      <c r="I25" s="2">
        <v>116.66</v>
      </c>
    </row>
    <row r="26" spans="1:9">
      <c r="A26" s="2">
        <v>23</v>
      </c>
      <c r="B26" s="3">
        <v>45272</v>
      </c>
      <c r="C26" s="2">
        <v>2023</v>
      </c>
      <c r="D26" s="2" t="s">
        <v>21</v>
      </c>
      <c r="E26" s="2" t="s">
        <v>10</v>
      </c>
      <c r="F26" s="2" t="s">
        <v>20</v>
      </c>
      <c r="G26" s="2">
        <v>3363.79</v>
      </c>
      <c r="H26" s="2">
        <v>8</v>
      </c>
      <c r="I26" s="2">
        <v>511.2</v>
      </c>
    </row>
    <row r="27" spans="1:9">
      <c r="A27" s="2">
        <v>24</v>
      </c>
      <c r="B27" s="3">
        <v>45558</v>
      </c>
      <c r="C27" s="2">
        <v>2024</v>
      </c>
      <c r="D27" s="2" t="s">
        <v>21</v>
      </c>
      <c r="E27" s="2" t="s">
        <v>10</v>
      </c>
      <c r="F27" s="2" t="s">
        <v>14</v>
      </c>
      <c r="G27" s="2">
        <v>2382.59</v>
      </c>
      <c r="H27" s="2">
        <v>4</v>
      </c>
      <c r="I27" s="2">
        <v>252.06</v>
      </c>
    </row>
    <row r="28" spans="1:9">
      <c r="A28" s="2">
        <v>25</v>
      </c>
      <c r="B28" s="3">
        <v>45920</v>
      </c>
      <c r="C28" s="2">
        <v>2025</v>
      </c>
      <c r="D28" s="2" t="s">
        <v>15</v>
      </c>
      <c r="E28" s="2" t="s">
        <v>12</v>
      </c>
      <c r="F28" s="2" t="s">
        <v>13</v>
      </c>
      <c r="G28" s="2">
        <v>2021</v>
      </c>
      <c r="H28" s="2">
        <v>1</v>
      </c>
      <c r="I28" s="2">
        <v>291.47000000000003</v>
      </c>
    </row>
    <row r="29" spans="1:9">
      <c r="A29" s="2">
        <v>26</v>
      </c>
      <c r="B29" s="3">
        <v>45914</v>
      </c>
      <c r="C29" s="2">
        <v>2025</v>
      </c>
      <c r="D29" s="2" t="s">
        <v>9</v>
      </c>
      <c r="E29" s="2" t="s">
        <v>16</v>
      </c>
      <c r="F29" s="2" t="s">
        <v>17</v>
      </c>
      <c r="G29" s="2">
        <v>1145.23</v>
      </c>
      <c r="H29" s="2">
        <v>5</v>
      </c>
      <c r="I29" s="2">
        <v>204.92</v>
      </c>
    </row>
    <row r="30" spans="1:9">
      <c r="A30" s="2">
        <v>27</v>
      </c>
      <c r="B30" s="3">
        <v>45851</v>
      </c>
      <c r="C30" s="2">
        <v>2025</v>
      </c>
      <c r="D30" s="2" t="s">
        <v>21</v>
      </c>
      <c r="E30" s="2" t="s">
        <v>12</v>
      </c>
      <c r="F30" s="2" t="s">
        <v>24</v>
      </c>
      <c r="G30" s="2">
        <v>3472.51</v>
      </c>
      <c r="H30" s="2">
        <v>2</v>
      </c>
      <c r="I30" s="2">
        <v>504.79</v>
      </c>
    </row>
    <row r="31" spans="1:9">
      <c r="A31" s="2">
        <v>28</v>
      </c>
      <c r="B31" s="3">
        <v>45187</v>
      </c>
      <c r="C31" s="2">
        <v>2023</v>
      </c>
      <c r="D31" s="2" t="s">
        <v>9</v>
      </c>
      <c r="E31" s="2" t="s">
        <v>12</v>
      </c>
      <c r="F31" s="2" t="s">
        <v>24</v>
      </c>
      <c r="G31" s="2">
        <v>713.23</v>
      </c>
      <c r="H31" s="2">
        <v>1</v>
      </c>
      <c r="I31" s="2">
        <v>151.03</v>
      </c>
    </row>
    <row r="32" spans="1:9">
      <c r="A32" s="2">
        <v>29</v>
      </c>
      <c r="B32" s="3">
        <v>45365</v>
      </c>
      <c r="C32" s="2">
        <v>2024</v>
      </c>
      <c r="D32" s="2" t="s">
        <v>15</v>
      </c>
      <c r="E32" s="2" t="s">
        <v>16</v>
      </c>
      <c r="F32" s="2" t="s">
        <v>23</v>
      </c>
      <c r="G32" s="2">
        <v>1665.32</v>
      </c>
      <c r="H32" s="2">
        <v>1</v>
      </c>
      <c r="I32" s="2">
        <v>158.63999999999999</v>
      </c>
    </row>
    <row r="33" spans="1:9">
      <c r="A33" s="2">
        <v>30</v>
      </c>
      <c r="B33" s="3">
        <v>45453</v>
      </c>
      <c r="C33" s="2">
        <v>2024</v>
      </c>
      <c r="D33" s="2" t="s">
        <v>9</v>
      </c>
      <c r="E33" s="2" t="s">
        <v>12</v>
      </c>
      <c r="F33" s="2" t="s">
        <v>13</v>
      </c>
      <c r="G33" s="2">
        <v>607.27</v>
      </c>
      <c r="H33" s="2">
        <v>7</v>
      </c>
      <c r="I33" s="2">
        <v>148.77000000000001</v>
      </c>
    </row>
    <row r="34" spans="1:9">
      <c r="A34" s="2">
        <v>31</v>
      </c>
      <c r="B34" s="3">
        <v>45333</v>
      </c>
      <c r="C34" s="2">
        <v>2024</v>
      </c>
      <c r="D34" s="2" t="s">
        <v>21</v>
      </c>
      <c r="E34" s="2" t="s">
        <v>12</v>
      </c>
      <c r="F34" s="2" t="s">
        <v>13</v>
      </c>
      <c r="G34" s="2">
        <v>769.29</v>
      </c>
      <c r="H34" s="2">
        <v>7</v>
      </c>
      <c r="I34" s="2">
        <v>142.31</v>
      </c>
    </row>
    <row r="35" spans="1:9">
      <c r="A35" s="2">
        <v>32</v>
      </c>
      <c r="B35" s="3">
        <v>45832</v>
      </c>
      <c r="C35" s="2">
        <v>2025</v>
      </c>
      <c r="D35" s="2" t="s">
        <v>18</v>
      </c>
      <c r="E35" s="2" t="s">
        <v>16</v>
      </c>
      <c r="F35" s="2" t="s">
        <v>22</v>
      </c>
      <c r="G35" s="2">
        <v>3536.54</v>
      </c>
      <c r="H35" s="2">
        <v>2</v>
      </c>
      <c r="I35" s="2">
        <v>465.19</v>
      </c>
    </row>
    <row r="36" spans="1:9">
      <c r="A36" s="2">
        <v>33</v>
      </c>
      <c r="B36" s="3">
        <v>44995</v>
      </c>
      <c r="C36" s="2">
        <v>2023</v>
      </c>
      <c r="D36" s="2" t="s">
        <v>18</v>
      </c>
      <c r="E36" s="2" t="s">
        <v>16</v>
      </c>
      <c r="F36" s="2" t="s">
        <v>23</v>
      </c>
      <c r="G36" s="2">
        <v>4674.4399999999996</v>
      </c>
      <c r="H36" s="2">
        <v>6</v>
      </c>
      <c r="I36" s="2">
        <v>1020.81</v>
      </c>
    </row>
    <row r="37" spans="1:9">
      <c r="A37" s="2">
        <v>34</v>
      </c>
      <c r="B37" s="3">
        <v>45426</v>
      </c>
      <c r="C37" s="2">
        <v>2024</v>
      </c>
      <c r="D37" s="2" t="s">
        <v>21</v>
      </c>
      <c r="E37" s="2" t="s">
        <v>10</v>
      </c>
      <c r="F37" s="2" t="s">
        <v>20</v>
      </c>
      <c r="G37" s="2">
        <v>4264.55</v>
      </c>
      <c r="H37" s="2">
        <v>10</v>
      </c>
      <c r="I37" s="2">
        <v>839.49</v>
      </c>
    </row>
    <row r="38" spans="1:9">
      <c r="A38" s="2">
        <v>35</v>
      </c>
      <c r="B38" s="3">
        <v>45019</v>
      </c>
      <c r="C38" s="2">
        <v>2023</v>
      </c>
      <c r="D38" s="2" t="s">
        <v>18</v>
      </c>
      <c r="E38" s="2" t="s">
        <v>12</v>
      </c>
      <c r="F38" s="2" t="s">
        <v>24</v>
      </c>
      <c r="G38" s="2">
        <v>4796.3599999999997</v>
      </c>
      <c r="H38" s="2">
        <v>10</v>
      </c>
      <c r="I38" s="2">
        <v>1058.49</v>
      </c>
    </row>
    <row r="39" spans="1:9">
      <c r="A39" s="2">
        <v>36</v>
      </c>
      <c r="B39" s="3">
        <v>45002</v>
      </c>
      <c r="C39" s="2">
        <v>2023</v>
      </c>
      <c r="D39" s="2" t="s">
        <v>9</v>
      </c>
      <c r="E39" s="2" t="s">
        <v>12</v>
      </c>
      <c r="F39" s="2" t="s">
        <v>24</v>
      </c>
      <c r="G39" s="2">
        <v>2106.34</v>
      </c>
      <c r="H39" s="2">
        <v>6</v>
      </c>
      <c r="I39" s="2">
        <v>282.95</v>
      </c>
    </row>
    <row r="40" spans="1:9">
      <c r="A40" s="2">
        <v>37</v>
      </c>
      <c r="B40" s="3">
        <v>45206</v>
      </c>
      <c r="C40" s="2">
        <v>2023</v>
      </c>
      <c r="D40" s="2" t="s">
        <v>21</v>
      </c>
      <c r="E40" s="2" t="s">
        <v>10</v>
      </c>
      <c r="F40" s="2" t="s">
        <v>14</v>
      </c>
      <c r="G40" s="2">
        <v>2056.52</v>
      </c>
      <c r="H40" s="2">
        <v>8</v>
      </c>
      <c r="I40" s="2">
        <v>153.69999999999999</v>
      </c>
    </row>
    <row r="41" spans="1:9">
      <c r="A41" s="2">
        <v>38</v>
      </c>
      <c r="B41" s="3">
        <v>45132</v>
      </c>
      <c r="C41" s="2">
        <v>2023</v>
      </c>
      <c r="D41" s="2" t="s">
        <v>9</v>
      </c>
      <c r="E41" s="2" t="s">
        <v>16</v>
      </c>
      <c r="F41" s="2" t="s">
        <v>22</v>
      </c>
      <c r="G41" s="2">
        <v>1914.63</v>
      </c>
      <c r="H41" s="2">
        <v>3</v>
      </c>
      <c r="I41" s="2">
        <v>273.07</v>
      </c>
    </row>
    <row r="42" spans="1:9">
      <c r="A42" s="2">
        <v>39</v>
      </c>
      <c r="B42" s="3">
        <v>45087</v>
      </c>
      <c r="C42" s="2">
        <v>2023</v>
      </c>
      <c r="D42" s="2" t="s">
        <v>9</v>
      </c>
      <c r="E42" s="2" t="s">
        <v>10</v>
      </c>
      <c r="F42" s="2" t="s">
        <v>20</v>
      </c>
      <c r="G42" s="2">
        <v>1265.52</v>
      </c>
      <c r="H42" s="2">
        <v>2</v>
      </c>
      <c r="I42" s="2">
        <v>151.94999999999999</v>
      </c>
    </row>
    <row r="43" spans="1:9">
      <c r="A43" s="2">
        <v>40</v>
      </c>
      <c r="B43" s="3">
        <v>45538</v>
      </c>
      <c r="C43" s="2">
        <v>2024</v>
      </c>
      <c r="D43" s="2" t="s">
        <v>15</v>
      </c>
      <c r="E43" s="2" t="s">
        <v>10</v>
      </c>
      <c r="F43" s="2" t="s">
        <v>11</v>
      </c>
      <c r="G43" s="2">
        <v>4304.91</v>
      </c>
      <c r="H43" s="2">
        <v>5</v>
      </c>
      <c r="I43" s="2">
        <v>949.66</v>
      </c>
    </row>
    <row r="44" spans="1:9">
      <c r="A44" s="2">
        <v>41</v>
      </c>
      <c r="B44" s="3">
        <v>45009</v>
      </c>
      <c r="C44" s="2">
        <v>2023</v>
      </c>
      <c r="D44" s="2" t="s">
        <v>21</v>
      </c>
      <c r="E44" s="2" t="s">
        <v>12</v>
      </c>
      <c r="F44" s="2" t="s">
        <v>19</v>
      </c>
      <c r="G44" s="2">
        <v>1999.58</v>
      </c>
      <c r="H44" s="2">
        <v>9</v>
      </c>
      <c r="I44" s="2">
        <v>112.66</v>
      </c>
    </row>
    <row r="45" spans="1:9">
      <c r="A45" s="2">
        <v>42</v>
      </c>
      <c r="B45" s="3">
        <v>45325</v>
      </c>
      <c r="C45" s="2">
        <v>2024</v>
      </c>
      <c r="D45" s="2" t="s">
        <v>18</v>
      </c>
      <c r="E45" s="2" t="s">
        <v>16</v>
      </c>
      <c r="F45" s="2" t="s">
        <v>17</v>
      </c>
      <c r="G45" s="2">
        <v>2777.82</v>
      </c>
      <c r="H45" s="2">
        <v>8</v>
      </c>
      <c r="I45" s="2">
        <v>240.96</v>
      </c>
    </row>
    <row r="46" spans="1:9">
      <c r="A46" s="2">
        <v>43</v>
      </c>
      <c r="B46" s="3">
        <v>45801</v>
      </c>
      <c r="C46" s="2">
        <v>2025</v>
      </c>
      <c r="D46" s="2" t="s">
        <v>18</v>
      </c>
      <c r="E46" s="2" t="s">
        <v>12</v>
      </c>
      <c r="F46" s="2" t="s">
        <v>13</v>
      </c>
      <c r="G46" s="2">
        <v>2614.8000000000002</v>
      </c>
      <c r="H46" s="2">
        <v>10</v>
      </c>
      <c r="I46" s="2">
        <v>451.15</v>
      </c>
    </row>
    <row r="47" spans="1:9">
      <c r="A47" s="2">
        <v>44</v>
      </c>
      <c r="B47" s="3">
        <v>45674</v>
      </c>
      <c r="C47" s="2">
        <v>2025</v>
      </c>
      <c r="D47" s="2" t="s">
        <v>18</v>
      </c>
      <c r="E47" s="2" t="s">
        <v>16</v>
      </c>
      <c r="F47" s="2" t="s">
        <v>22</v>
      </c>
      <c r="G47" s="2">
        <v>4053.64</v>
      </c>
      <c r="H47" s="2">
        <v>8</v>
      </c>
      <c r="I47" s="2">
        <v>972.59</v>
      </c>
    </row>
    <row r="48" spans="1:9">
      <c r="A48" s="2">
        <v>45</v>
      </c>
      <c r="B48" s="3">
        <v>45526</v>
      </c>
      <c r="C48" s="2">
        <v>2024</v>
      </c>
      <c r="D48" s="2" t="s">
        <v>9</v>
      </c>
      <c r="E48" s="2" t="s">
        <v>10</v>
      </c>
      <c r="F48" s="2" t="s">
        <v>11</v>
      </c>
      <c r="G48" s="2">
        <v>3589.02</v>
      </c>
      <c r="H48" s="2">
        <v>3</v>
      </c>
      <c r="I48" s="2">
        <v>205.52</v>
      </c>
    </row>
    <row r="49" spans="1:9">
      <c r="A49" s="2">
        <v>46</v>
      </c>
      <c r="B49" s="3">
        <v>45851</v>
      </c>
      <c r="C49" s="2">
        <v>2025</v>
      </c>
      <c r="D49" s="2" t="s">
        <v>21</v>
      </c>
      <c r="E49" s="2" t="s">
        <v>16</v>
      </c>
      <c r="F49" s="2" t="s">
        <v>17</v>
      </c>
      <c r="G49" s="2">
        <v>4367.0600000000004</v>
      </c>
      <c r="H49" s="2">
        <v>2</v>
      </c>
      <c r="I49" s="2">
        <v>520.53</v>
      </c>
    </row>
    <row r="50" spans="1:9">
      <c r="A50" s="2">
        <v>47</v>
      </c>
      <c r="B50" s="3">
        <v>45737</v>
      </c>
      <c r="C50" s="2">
        <v>2025</v>
      </c>
      <c r="D50" s="2" t="s">
        <v>21</v>
      </c>
      <c r="E50" s="2" t="s">
        <v>16</v>
      </c>
      <c r="F50" s="2" t="s">
        <v>23</v>
      </c>
      <c r="G50" s="2">
        <v>3823.59</v>
      </c>
      <c r="H50" s="2">
        <v>5</v>
      </c>
      <c r="I50" s="2">
        <v>197.51</v>
      </c>
    </row>
    <row r="51" spans="1:9">
      <c r="A51" s="2">
        <v>48</v>
      </c>
      <c r="B51" s="3">
        <v>45424</v>
      </c>
      <c r="C51" s="2">
        <v>2024</v>
      </c>
      <c r="D51" s="2" t="s">
        <v>18</v>
      </c>
      <c r="E51" s="2" t="s">
        <v>12</v>
      </c>
      <c r="F51" s="2" t="s">
        <v>19</v>
      </c>
      <c r="G51" s="2">
        <v>3772.39</v>
      </c>
      <c r="H51" s="2">
        <v>7</v>
      </c>
      <c r="I51" s="2">
        <v>867.95</v>
      </c>
    </row>
    <row r="52" spans="1:9">
      <c r="A52" s="2">
        <v>49</v>
      </c>
      <c r="B52" s="3">
        <v>45488</v>
      </c>
      <c r="C52" s="2">
        <v>2024</v>
      </c>
      <c r="D52" s="2" t="s">
        <v>21</v>
      </c>
      <c r="E52" s="2" t="s">
        <v>16</v>
      </c>
      <c r="F52" s="2" t="s">
        <v>22</v>
      </c>
      <c r="G52" s="2">
        <v>3724.31</v>
      </c>
      <c r="H52" s="2">
        <v>5</v>
      </c>
      <c r="I52" s="2">
        <v>832.54</v>
      </c>
    </row>
    <row r="53" spans="1:9">
      <c r="A53" s="2">
        <v>50</v>
      </c>
      <c r="B53" s="3">
        <v>45033</v>
      </c>
      <c r="C53" s="2">
        <v>2023</v>
      </c>
      <c r="D53" s="2" t="s">
        <v>18</v>
      </c>
      <c r="E53" s="2" t="s">
        <v>10</v>
      </c>
      <c r="F53" s="2" t="s">
        <v>11</v>
      </c>
      <c r="G53" s="2">
        <v>3834.24</v>
      </c>
      <c r="H53" s="2">
        <v>5</v>
      </c>
      <c r="I53" s="2">
        <v>576.4</v>
      </c>
    </row>
    <row r="54" spans="1:9">
      <c r="A54" s="2"/>
      <c r="B54" s="3"/>
      <c r="C54" s="2"/>
      <c r="D54" s="2"/>
      <c r="E54" s="2"/>
      <c r="F54" s="2"/>
      <c r="G54" s="2">
        <f>SUM(Table1[Sales])</f>
        <v>134803.6</v>
      </c>
      <c r="H54" s="2"/>
      <c r="I54" s="7">
        <f>SUM(Table1[Profit])</f>
        <v>20414.3</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220D7-6E78-4555-96A1-421FB2DA3804}">
  <dimension ref="A3:K13"/>
  <sheetViews>
    <sheetView workbookViewId="0">
      <selection activeCell="C14" sqref="C14"/>
    </sheetView>
  </sheetViews>
  <sheetFormatPr defaultRowHeight="15"/>
  <cols>
    <col min="1" max="1" width="13.140625" bestFit="1" customWidth="1"/>
    <col min="2" max="2" width="12.140625" bestFit="1" customWidth="1"/>
    <col min="3" max="3" width="6.140625" bestFit="1" customWidth="1"/>
    <col min="4" max="4" width="13.140625" bestFit="1" customWidth="1"/>
    <col min="5" max="5" width="12.140625" bestFit="1" customWidth="1"/>
    <col min="6" max="6" width="11.28515625" bestFit="1" customWidth="1"/>
    <col min="7" max="7" width="13.140625" bestFit="1" customWidth="1"/>
    <col min="8" max="8" width="12.140625" bestFit="1" customWidth="1"/>
    <col min="9" max="9" width="16.28515625" bestFit="1" customWidth="1"/>
    <col min="10" max="10" width="14.5703125" bestFit="1" customWidth="1"/>
    <col min="11" max="11" width="12.140625" bestFit="1" customWidth="1"/>
    <col min="12" max="12" width="13.140625" bestFit="1" customWidth="1"/>
    <col min="13" max="13" width="12.140625" bestFit="1" customWidth="1"/>
    <col min="14" max="56" width="16.28515625" bestFit="1" customWidth="1"/>
    <col min="57" max="57" width="11.28515625" bestFit="1" customWidth="1"/>
  </cols>
  <sheetData>
    <row r="3" spans="1:11">
      <c r="A3" s="5" t="s">
        <v>26</v>
      </c>
      <c r="B3" t="s">
        <v>27</v>
      </c>
      <c r="D3" s="5" t="s">
        <v>26</v>
      </c>
      <c r="E3" t="s">
        <v>27</v>
      </c>
      <c r="G3" s="5" t="s">
        <v>26</v>
      </c>
      <c r="H3" t="s">
        <v>27</v>
      </c>
      <c r="J3" s="5" t="s">
        <v>26</v>
      </c>
      <c r="K3" t="s">
        <v>27</v>
      </c>
    </row>
    <row r="4" spans="1:11">
      <c r="A4" s="6">
        <v>2023</v>
      </c>
      <c r="B4" s="4">
        <v>49417.789999999994</v>
      </c>
      <c r="D4" s="6" t="s">
        <v>13</v>
      </c>
      <c r="E4" s="4">
        <v>10820.239999999998</v>
      </c>
      <c r="G4" s="6" t="s">
        <v>21</v>
      </c>
      <c r="H4" s="4">
        <v>33353.54</v>
      </c>
      <c r="J4" s="6" t="s">
        <v>16</v>
      </c>
      <c r="K4" s="4">
        <v>48253.19</v>
      </c>
    </row>
    <row r="5" spans="1:11">
      <c r="A5" s="6">
        <v>2024</v>
      </c>
      <c r="B5" s="4">
        <v>39442.1</v>
      </c>
      <c r="D5" s="6" t="s">
        <v>24</v>
      </c>
      <c r="E5" s="4">
        <v>11813.380000000001</v>
      </c>
      <c r="G5" s="6" t="s">
        <v>15</v>
      </c>
      <c r="H5" s="4">
        <v>32962.51</v>
      </c>
      <c r="J5" s="6" t="s">
        <v>10</v>
      </c>
      <c r="K5" s="4">
        <v>50988.679999999993</v>
      </c>
    </row>
    <row r="6" spans="1:11">
      <c r="A6" s="6">
        <v>2025</v>
      </c>
      <c r="B6" s="4">
        <v>45943.710000000006</v>
      </c>
      <c r="D6" s="6" t="s">
        <v>20</v>
      </c>
      <c r="E6" s="4">
        <v>11109.41</v>
      </c>
      <c r="G6" s="6" t="s">
        <v>9</v>
      </c>
      <c r="H6" s="4">
        <v>30502.74</v>
      </c>
      <c r="J6" s="6" t="s">
        <v>12</v>
      </c>
      <c r="K6" s="4">
        <v>35561.730000000003</v>
      </c>
    </row>
    <row r="7" spans="1:11">
      <c r="A7" s="6" t="s">
        <v>25</v>
      </c>
      <c r="B7" s="4">
        <v>134803.59999999998</v>
      </c>
      <c r="D7" s="6" t="s">
        <v>17</v>
      </c>
      <c r="E7" s="4">
        <v>10674.630000000001</v>
      </c>
      <c r="G7" s="6" t="s">
        <v>18</v>
      </c>
      <c r="H7" s="4">
        <v>37984.81</v>
      </c>
      <c r="J7" s="6" t="s">
        <v>25</v>
      </c>
      <c r="K7" s="4">
        <v>134803.6</v>
      </c>
    </row>
    <row r="8" spans="1:11">
      <c r="D8" s="6" t="s">
        <v>22</v>
      </c>
      <c r="E8" s="4">
        <v>15633.93</v>
      </c>
      <c r="G8" s="6" t="s">
        <v>25</v>
      </c>
      <c r="H8" s="4">
        <v>134803.6</v>
      </c>
    </row>
    <row r="9" spans="1:11">
      <c r="D9" s="6" t="s">
        <v>11</v>
      </c>
      <c r="E9" s="4">
        <v>25918.080000000002</v>
      </c>
    </row>
    <row r="10" spans="1:11">
      <c r="D10" s="6" t="s">
        <v>14</v>
      </c>
      <c r="E10" s="4">
        <v>13961.19</v>
      </c>
    </row>
    <row r="11" spans="1:11">
      <c r="D11" s="6" t="s">
        <v>19</v>
      </c>
      <c r="E11" s="4">
        <v>12928.109999999999</v>
      </c>
    </row>
    <row r="12" spans="1:11">
      <c r="D12" s="6" t="s">
        <v>23</v>
      </c>
      <c r="E12" s="4">
        <v>21944.63</v>
      </c>
    </row>
    <row r="13" spans="1:11">
      <c r="D13" s="6" t="s">
        <v>25</v>
      </c>
      <c r="E13" s="4">
        <v>134803.6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6128F-776E-41BA-BF04-621031D58D92}">
  <dimension ref="A1:B1"/>
  <sheetViews>
    <sheetView showGridLines="0" tabSelected="1" workbookViewId="0">
      <selection activeCell="T5" sqref="T5"/>
    </sheetView>
  </sheetViews>
  <sheetFormatPr defaultRowHeight="15"/>
  <cols>
    <col min="1" max="1" width="12.5703125" customWidth="1"/>
    <col min="2" max="2" width="11.42578125" customWidth="1"/>
  </cols>
  <sheetData>
    <row r="1" spans="1:2" ht="70.5">
      <c r="A1" s="8" t="s">
        <v>28</v>
      </c>
      <c r="B1"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MKCL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SITHPC-11</dc:creator>
  <cp:lastModifiedBy>SITHPC-11</cp:lastModifiedBy>
  <dcterms:created xsi:type="dcterms:W3CDTF">2026-01-21T05:45:37Z</dcterms:created>
  <dcterms:modified xsi:type="dcterms:W3CDTF">2026-01-27T06:13:15Z</dcterms:modified>
</cp:coreProperties>
</file>