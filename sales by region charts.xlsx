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0"/>
  <workbookPr defaultThemeVersion="166925"/>
  <mc:AlternateContent xmlns:mc="http://schemas.openxmlformats.org/markup-compatibility/2006">
    <mc:Choice Requires="x15">
      <x15ac:absPath xmlns:x15ac="http://schemas.microsoft.com/office/spreadsheetml/2010/11/ac" url="D:\ASHA EXCEL\"/>
    </mc:Choice>
  </mc:AlternateContent>
  <xr:revisionPtr revIDLastSave="0" documentId="8_{C35F11D5-C95A-4AE6-9E55-13A3F59F0299}" xr6:coauthVersionLast="36" xr6:coauthVersionMax="36" xr10:uidLastSave="{00000000-0000-0000-0000-000000000000}"/>
  <bookViews>
    <workbookView xWindow="0" yWindow="0" windowWidth="28800" windowHeight="12210" activeTab="2" xr2:uid="{E53BC2D7-33C6-4E12-B92B-61111DF1C86D}"/>
  </bookViews>
  <sheets>
    <sheet name="DATA 3" sheetId="1" r:id="rId1"/>
    <sheet name="calculation 3" sheetId="2" r:id="rId2"/>
    <sheet name="DASHBOARD 3" sheetId="3" r:id="rId3"/>
  </sheets>
  <definedNames>
    <definedName name="_xlchart.v1.0" hidden="1">'calculation 3'!$D$62:$D$66</definedName>
    <definedName name="_xlchart.v1.1" hidden="1">'calculation 3'!$E$62:$E$66</definedName>
    <definedName name="_xlchart.v1.2" hidden="1">'calculation 3'!$B$25</definedName>
    <definedName name="_xlchart.v1.3" hidden="1">'calculation 3'!$B$26:$B$29</definedName>
    <definedName name="Slicer_CATEGORY">#N/A</definedName>
    <definedName name="Slicer_REGION1">#N/A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3" l="1"/>
  <c r="D2" i="3"/>
  <c r="F2" i="3"/>
  <c r="H2" i="3"/>
  <c r="B18" i="2"/>
  <c r="C18" i="2"/>
  <c r="D18" i="2"/>
  <c r="E18" i="2"/>
</calcChain>
</file>

<file path=xl/sharedStrings.xml><?xml version="1.0" encoding="utf-8"?>
<sst xmlns="http://schemas.openxmlformats.org/spreadsheetml/2006/main" count="146" uniqueCount="92">
  <si>
    <t>Leather Belt</t>
  </si>
  <si>
    <t>Apparel</t>
  </si>
  <si>
    <t>Rajiv Menon</t>
  </si>
  <si>
    <t>South</t>
  </si>
  <si>
    <t>CUST1012</t>
  </si>
  <si>
    <t>ORD012</t>
  </si>
  <si>
    <t>Bookshelf</t>
  </si>
  <si>
    <t>Furniture</t>
  </si>
  <si>
    <t>Emily Chen</t>
  </si>
  <si>
    <t>North</t>
  </si>
  <si>
    <t>CUST1011</t>
  </si>
  <si>
    <t>ORD011</t>
  </si>
  <si>
    <t>Noise-Canceling Headphones</t>
  </si>
  <si>
    <t>Electronics</t>
  </si>
  <si>
    <t>Ahmed Khan</t>
  </si>
  <si>
    <t>Central</t>
  </si>
  <si>
    <t>CUST1010</t>
  </si>
  <si>
    <t>ORD010</t>
  </si>
  <si>
    <t>Air Fryer</t>
  </si>
  <si>
    <t>Kitchenware</t>
  </si>
  <si>
    <t>Sofia Martinez</t>
  </si>
  <si>
    <t>West</t>
  </si>
  <si>
    <t>CUST1009</t>
  </si>
  <si>
    <t>ORD009</t>
  </si>
  <si>
    <t>Running Shoes</t>
  </si>
  <si>
    <t>Haruto Tanaka</t>
  </si>
  <si>
    <t>East</t>
  </si>
  <si>
    <t>CUST1008</t>
  </si>
  <si>
    <t>ORD008</t>
  </si>
  <si>
    <t>Coffee Table</t>
  </si>
  <si>
    <t>John Smith</t>
  </si>
  <si>
    <t>CUST1007</t>
  </si>
  <si>
    <t>ORD007</t>
  </si>
  <si>
    <t>Wireless Mouse</t>
  </si>
  <si>
    <t>Priya Desai</t>
  </si>
  <si>
    <t>CUST1006</t>
  </si>
  <si>
    <t>ORD006</t>
  </si>
  <si>
    <t>Smartwatch</t>
  </si>
  <si>
    <t>Fatima Noor</t>
  </si>
  <si>
    <t>CUST1005</t>
  </si>
  <si>
    <t>ORD005</t>
  </si>
  <si>
    <t>Blender</t>
  </si>
  <si>
    <t>Carlos Rivera</t>
  </si>
  <si>
    <t>CUST1004</t>
  </si>
  <si>
    <t>ORD004</t>
  </si>
  <si>
    <t>Winter Jacket</t>
  </si>
  <si>
    <t>Mei Ling</t>
  </si>
  <si>
    <t>CUST1003</t>
  </si>
  <si>
    <t>ORD003</t>
  </si>
  <si>
    <t>Office Chair</t>
  </si>
  <si>
    <t>Ravi Kumar</t>
  </si>
  <si>
    <t>CUST1002</t>
  </si>
  <si>
    <t>ORD002</t>
  </si>
  <si>
    <t>Bluetooth Speaker</t>
  </si>
  <si>
    <t>Alice Johnson</t>
  </si>
  <si>
    <t>CUST1001</t>
  </si>
  <si>
    <t>ORD001</t>
  </si>
  <si>
    <t>PROFIT (10%)</t>
  </si>
  <si>
    <t>AMOUNT ($)</t>
  </si>
  <si>
    <t>QUANTITY</t>
  </si>
  <si>
    <t>PRICE ($)</t>
  </si>
  <si>
    <t>PRODUCT</t>
  </si>
  <si>
    <t>CATEGORY</t>
  </si>
  <si>
    <t>CUSTOMER NAME</t>
  </si>
  <si>
    <t>REGION</t>
  </si>
  <si>
    <t>CUSTOMER ID</t>
  </si>
  <si>
    <t>YEAR</t>
  </si>
  <si>
    <t>ORDER DATE</t>
  </si>
  <si>
    <t>ORDER ID</t>
  </si>
  <si>
    <t>Grand Total</t>
  </si>
  <si>
    <t>Sum of QUANTITY</t>
  </si>
  <si>
    <t>Row Labels</t>
  </si>
  <si>
    <t>Sum of AMOUNT ($)</t>
  </si>
  <si>
    <t>Dec</t>
  </si>
  <si>
    <t>Nov</t>
  </si>
  <si>
    <t>Oct</t>
  </si>
  <si>
    <t>Sep</t>
  </si>
  <si>
    <t>Aug</t>
  </si>
  <si>
    <t>Jul</t>
  </si>
  <si>
    <t>Jun</t>
  </si>
  <si>
    <t>May</t>
  </si>
  <si>
    <t>Apr</t>
  </si>
  <si>
    <t>Mar</t>
  </si>
  <si>
    <t>Feb</t>
  </si>
  <si>
    <t>Jan</t>
  </si>
  <si>
    <t>Sum of PROFIT (10%)</t>
  </si>
  <si>
    <t>Count of ORDER ID</t>
  </si>
  <si>
    <t>PIVOT  TABLE:</t>
  </si>
  <si>
    <t>Profit</t>
  </si>
  <si>
    <t>Quantity</t>
  </si>
  <si>
    <t>Orders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</si>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</sst>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font>
    <font>
      <b/>
      <sz val="11"/>
      <color theme="1"/>
      <name val="Calibri"/>
      <family val="2"/>
    </font>
    <font>
      <b/>
      <sz val="12"/>
      <color theme="1"/>
      <name val="Calibri"/>
      <family val="2"/>
    </font>
    <font>
      <b/>
      <sz val="28"/>
      <color theme="1"/>
      <name val="Calibri"/>
      <family val="2"/>
    </font>
    <font>
      <b/>
      <sz val="16"/>
      <color theme="0"/>
      <name val="cantika"/>
    </font>
    <font>
      <sz val="11"/>
      <color theme="1"/>
      <name val="Bodoni MT Black"/>
      <family val="1"/>
    </font>
    <font>
      <b/>
      <sz val="11"/>
      <color theme="1"/>
      <name val="Bodoni MT Black"/>
      <family val="1"/>
    </font>
    <font>
      <sz val="14"/>
      <color theme="0" tint="-0.499984740745262"/>
      <name val="Aharoni"/>
      <charset val="177"/>
    </font>
    <font>
      <sz val="11"/>
      <color theme="1"/>
      <name val="Book Antiqua"/>
      <family val="1"/>
    </font>
    <font>
      <sz val="12"/>
      <color theme="0" tint="-0.499984740745262"/>
      <name val="Aharoni"/>
      <charset val="177"/>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21">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1" fillId="0" borderId="0" xfId="0" applyFont="1" applyAlignment="1">
      <alignment horizontal="center" vertical="center" wrapText="1"/>
    </xf>
    <xf numFmtId="0" fontId="2" fillId="0" borderId="0" xfId="0" applyFont="1"/>
    <xf numFmtId="0" fontId="2" fillId="2" borderId="1" xfId="0" applyNumberFormat="1" applyFont="1" applyFill="1" applyBorder="1"/>
    <xf numFmtId="0" fontId="2" fillId="2" borderId="1" xfId="0" applyFont="1" applyFill="1" applyBorder="1" applyAlignment="1">
      <alignment horizontal="left"/>
    </xf>
    <xf numFmtId="0" fontId="2" fillId="0" borderId="0" xfId="0" applyNumberFormat="1" applyFont="1"/>
    <xf numFmtId="0" fontId="2" fillId="0" borderId="0" xfId="0" applyFont="1" applyAlignment="1">
      <alignment horizontal="left"/>
    </xf>
    <xf numFmtId="0" fontId="2" fillId="0" borderId="0" xfId="0" pivotButton="1" applyFont="1"/>
    <xf numFmtId="0" fontId="3" fillId="0" borderId="0" xfId="0" applyFont="1"/>
    <xf numFmtId="0" fontId="4" fillId="3" borderId="0" xfId="0" applyFont="1" applyFill="1" applyAlignment="1">
      <alignment horizontal="center"/>
    </xf>
    <xf numFmtId="0" fontId="0" fillId="4" borderId="0" xfId="0" applyFill="1"/>
    <xf numFmtId="0" fontId="0" fillId="4" borderId="0" xfId="0" applyFill="1" applyAlignment="1">
      <alignment horizontal="center"/>
    </xf>
    <xf numFmtId="0" fontId="0" fillId="5" borderId="0" xfId="0" applyFill="1" applyAlignment="1">
      <alignment horizontal="center"/>
    </xf>
    <xf numFmtId="0" fontId="0" fillId="4" borderId="0" xfId="0" applyFill="1" applyAlignment="1">
      <alignment horizontal="center"/>
    </xf>
    <xf numFmtId="0" fontId="5" fillId="6" borderId="0" xfId="0" applyFont="1" applyFill="1" applyAlignment="1">
      <alignment horizontal="center"/>
    </xf>
    <xf numFmtId="0" fontId="6" fillId="6" borderId="0" xfId="0" applyFont="1" applyFill="1" applyAlignment="1">
      <alignment horizontal="center"/>
    </xf>
    <xf numFmtId="0" fontId="7" fillId="5" borderId="0" xfId="0" applyFont="1" applyFill="1" applyAlignment="1">
      <alignment horizontal="center"/>
    </xf>
    <xf numFmtId="0" fontId="8" fillId="4" borderId="0" xfId="0" applyFont="1" applyFill="1"/>
    <xf numFmtId="0" fontId="9" fillId="5" borderId="0" xfId="0" applyFont="1" applyFill="1" applyAlignment="1">
      <alignment horizontal="center"/>
    </xf>
  </cellXfs>
  <cellStyles count="1">
    <cellStyle name="Normal" xfId="0" builtinId="0"/>
  </cellStyles>
  <dxfs count="74">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0"/>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pivotFmt>
      <c:pivotFmt>
        <c:idx val="2"/>
        <c:spPr>
          <a:solidFill>
            <a:schemeClr val="accent5"/>
          </a:solidFill>
          <a:ln>
            <a:noFill/>
          </a:ln>
          <a:effectLst/>
        </c:spPr>
        <c:marker>
          <c:symbol val="none"/>
        </c:marker>
      </c:pivotFmt>
      <c:pivotFmt>
        <c:idx val="3"/>
        <c:spPr>
          <a:solidFill>
            <a:schemeClr val="accent5"/>
          </a:solidFill>
          <a:ln>
            <a:noFill/>
          </a:ln>
          <a:effectLst/>
        </c:spPr>
        <c:marker>
          <c:symbol val="none"/>
        </c:marker>
      </c:pivotFmt>
      <c:pivotFmt>
        <c:idx val="4"/>
        <c:spPr>
          <a:solidFill>
            <a:schemeClr val="accent5"/>
          </a:solidFill>
          <a:ln>
            <a:noFill/>
          </a:ln>
          <a:effectLst/>
        </c:spPr>
        <c:marker>
          <c:symbol val="none"/>
        </c:marker>
      </c:pivotFmt>
      <c:pivotFmt>
        <c:idx val="5"/>
        <c:spPr>
          <a:solidFill>
            <a:schemeClr val="accent5"/>
          </a:solidFill>
          <a:ln>
            <a:noFill/>
          </a:ln>
          <a:effectLst/>
        </c:spPr>
        <c:marker>
          <c:symbol val="none"/>
        </c:marker>
      </c:pivotFmt>
      <c:pivotFmt>
        <c:idx val="6"/>
        <c:spPr>
          <a:solidFill>
            <a:schemeClr val="accent5"/>
          </a:solidFill>
          <a:ln>
            <a:noFill/>
          </a:ln>
          <a:effectLst/>
        </c:spPr>
        <c:marker>
          <c:symbol val="none"/>
        </c:marker>
      </c:pivotFmt>
      <c:pivotFmt>
        <c:idx val="7"/>
        <c:spPr>
          <a:solidFill>
            <a:schemeClr val="accent5"/>
          </a:solidFill>
          <a:ln>
            <a:noFill/>
          </a:ln>
          <a:effectLst/>
        </c:spPr>
        <c:marker>
          <c:symbol val="none"/>
        </c:marker>
      </c:pivotFmt>
      <c:pivotFmt>
        <c:idx val="8"/>
        <c:spPr>
          <a:solidFill>
            <a:schemeClr val="accent5"/>
          </a:solidFill>
          <a:ln>
            <a:noFill/>
          </a:ln>
          <a:effectLst/>
        </c:spPr>
        <c:marker>
          <c:symbol val="none"/>
        </c:marker>
      </c:pivotFmt>
      <c:pivotFmt>
        <c:idx val="9"/>
        <c:spPr>
          <a:solidFill>
            <a:schemeClr val="accent5"/>
          </a:solidFill>
          <a:ln>
            <a:noFill/>
          </a:ln>
          <a:effectLst/>
        </c:spPr>
        <c:marker>
          <c:symbol val="none"/>
        </c:marker>
      </c:pivotFmt>
      <c:pivotFmt>
        <c:idx val="10"/>
        <c:spPr>
          <a:solidFill>
            <a:schemeClr val="accent5"/>
          </a:solidFill>
          <a:ln>
            <a:noFill/>
          </a:ln>
          <a:effectLst/>
        </c:spPr>
        <c:marker>
          <c:symbol val="none"/>
        </c:marker>
      </c:pivotFmt>
      <c:pivotFmt>
        <c:idx val="11"/>
        <c:spPr>
          <a:solidFill>
            <a:schemeClr val="accent5"/>
          </a:solidFill>
          <a:ln>
            <a:noFill/>
          </a:ln>
          <a:effectLst/>
        </c:spPr>
        <c:marker>
          <c:symbol val="none"/>
        </c:marker>
      </c:pivotFmt>
    </c:pivotFmts>
    <c:plotArea>
      <c:layout>
        <c:manualLayout>
          <c:layoutTarget val="inner"/>
          <c:xMode val="edge"/>
          <c:yMode val="edge"/>
          <c:x val="0.12253624546931634"/>
          <c:y val="0.10582016460173845"/>
          <c:w val="0.81063835770528681"/>
          <c:h val="0.72960642675578147"/>
        </c:manualLayout>
      </c:layout>
      <c:barChart>
        <c:barDir val="bar"/>
        <c:grouping val="clustered"/>
        <c:varyColors val="0"/>
        <c:ser>
          <c:idx val="0"/>
          <c:order val="0"/>
          <c:tx>
            <c:v>Series1</c:v>
          </c:tx>
          <c:spPr>
            <a:solidFill>
              <a:schemeClr val="accent5">
                <a:shade val="58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Lit>
          </c:val>
          <c:extLst>
            <c:ext xmlns:c16="http://schemas.microsoft.com/office/drawing/2014/chart" uri="{C3380CC4-5D6E-409C-BE32-E72D297353CC}">
              <c16:uniqueId val="{00000000-6492-4ACB-AF80-9EC01786F959}"/>
            </c:ext>
          </c:extLst>
        </c:ser>
        <c:ser>
          <c:idx val="1"/>
          <c:order val="1"/>
          <c:tx>
            <c:v>Series2</c:v>
          </c:tx>
          <c:spPr>
            <a:solidFill>
              <a:schemeClr val="accent5">
                <a:shade val="86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100</c:v>
              </c:pt>
              <c:pt idx="1">
                <c:v>120</c:v>
              </c:pt>
              <c:pt idx="2">
                <c:v>240</c:v>
              </c:pt>
              <c:pt idx="3">
                <c:v>130</c:v>
              </c:pt>
              <c:pt idx="4">
                <c:v>200</c:v>
              </c:pt>
              <c:pt idx="5">
                <c:v>100</c:v>
              </c:pt>
              <c:pt idx="6">
                <c:v>150</c:v>
              </c:pt>
              <c:pt idx="7">
                <c:v>180</c:v>
              </c:pt>
              <c:pt idx="8">
                <c:v>110</c:v>
              </c:pt>
              <c:pt idx="9">
                <c:v>180</c:v>
              </c:pt>
              <c:pt idx="10">
                <c:v>200</c:v>
              </c:pt>
              <c:pt idx="11">
                <c:v>80</c:v>
              </c:pt>
            </c:numLit>
          </c:val>
          <c:extLst>
            <c:ext xmlns:c16="http://schemas.microsoft.com/office/drawing/2014/chart" uri="{C3380CC4-5D6E-409C-BE32-E72D297353CC}">
              <c16:uniqueId val="{00000001-6492-4ACB-AF80-9EC01786F959}"/>
            </c:ext>
          </c:extLst>
        </c:ser>
        <c:ser>
          <c:idx val="2"/>
          <c:order val="2"/>
          <c:tx>
            <c:v>Series3</c:v>
          </c:tx>
          <c:spPr>
            <a:solidFill>
              <a:schemeClr val="accent5">
                <a:tint val="86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c:v>
              </c:pt>
              <c:pt idx="1">
                <c:v>1</c:v>
              </c:pt>
              <c:pt idx="2">
                <c:v>3</c:v>
              </c:pt>
              <c:pt idx="3">
                <c:v>2</c:v>
              </c:pt>
              <c:pt idx="4">
                <c:v>1</c:v>
              </c:pt>
              <c:pt idx="5">
                <c:v>4</c:v>
              </c:pt>
              <c:pt idx="6">
                <c:v>1</c:v>
              </c:pt>
              <c:pt idx="7">
                <c:v>2</c:v>
              </c:pt>
              <c:pt idx="8">
                <c:v>1</c:v>
              </c:pt>
              <c:pt idx="9">
                <c:v>1</c:v>
              </c:pt>
              <c:pt idx="10">
                <c:v>1</c:v>
              </c:pt>
              <c:pt idx="11">
                <c:v>2</c:v>
              </c:pt>
            </c:numLit>
          </c:val>
          <c:extLst>
            <c:ext xmlns:c16="http://schemas.microsoft.com/office/drawing/2014/chart" uri="{C3380CC4-5D6E-409C-BE32-E72D297353CC}">
              <c16:uniqueId val="{00000002-6492-4ACB-AF80-9EC01786F959}"/>
            </c:ext>
          </c:extLst>
        </c:ser>
        <c:ser>
          <c:idx val="3"/>
          <c:order val="3"/>
          <c:tx>
            <c:v>Series4</c:v>
          </c:tx>
          <c:spPr>
            <a:solidFill>
              <a:schemeClr val="accent5">
                <a:tint val="58000"/>
              </a:schemeClr>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10</c:v>
              </c:pt>
              <c:pt idx="1">
                <c:v>12</c:v>
              </c:pt>
              <c:pt idx="2">
                <c:v>24</c:v>
              </c:pt>
              <c:pt idx="3">
                <c:v>13</c:v>
              </c:pt>
              <c:pt idx="4">
                <c:v>20</c:v>
              </c:pt>
              <c:pt idx="5">
                <c:v>10</c:v>
              </c:pt>
              <c:pt idx="6">
                <c:v>15</c:v>
              </c:pt>
              <c:pt idx="7">
                <c:v>18</c:v>
              </c:pt>
              <c:pt idx="8">
                <c:v>11</c:v>
              </c:pt>
              <c:pt idx="9">
                <c:v>18</c:v>
              </c:pt>
              <c:pt idx="10">
                <c:v>20</c:v>
              </c:pt>
              <c:pt idx="11">
                <c:v>8</c:v>
              </c:pt>
            </c:numLit>
          </c:val>
          <c:extLst>
            <c:ext xmlns:c16="http://schemas.microsoft.com/office/drawing/2014/chart" uri="{C3380CC4-5D6E-409C-BE32-E72D297353CC}">
              <c16:uniqueId val="{00000003-6492-4ACB-AF80-9EC01786F959}"/>
            </c:ext>
          </c:extLst>
        </c:ser>
        <c:dLbls>
          <c:showLegendKey val="0"/>
          <c:showVal val="0"/>
          <c:showCatName val="0"/>
          <c:showSerName val="0"/>
          <c:showPercent val="0"/>
          <c:showBubbleSize val="0"/>
        </c:dLbls>
        <c:gapWidth val="182"/>
        <c:axId val="2037008192"/>
        <c:axId val="454349312"/>
      </c:barChart>
      <c:catAx>
        <c:axId val="2037008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454349312"/>
        <c:crosses val="autoZero"/>
        <c:auto val="1"/>
        <c:lblAlgn val="ctr"/>
        <c:lblOffset val="100"/>
        <c:noMultiLvlLbl val="0"/>
      </c:catAx>
      <c:valAx>
        <c:axId val="45434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hi-IN"/>
          </a:p>
        </c:txPr>
        <c:crossAx val="203700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QUANTITY SALES</cx:v>
        </cx:txData>
      </cx:tx>
      <cx:txPr>
        <a:bodyPr spcFirstLastPara="1" vertOverflow="ellipsis" horzOverflow="overflow" wrap="square" lIns="0" tIns="0" rIns="0" bIns="0" anchor="ctr" anchorCtr="1"/>
        <a:lstStyle/>
        <a:p>
          <a:pPr algn="ctr" rtl="0">
            <a:defRPr b="0">
              <a:latin typeface="Aharoni" panose="02010803020104030203" pitchFamily="2" charset="-79"/>
              <a:ea typeface="Aharoni" panose="02010803020104030203" pitchFamily="2" charset="-79"/>
              <a:cs typeface="Aharoni" panose="02010803020104030203" pitchFamily="2" charset="-79"/>
            </a:defRPr>
          </a:pPr>
          <a:r>
            <a:rPr lang="en-US" sz="1400" b="0" i="0" u="none" strike="noStrike" baseline="0">
              <a:solidFill>
                <a:sysClr val="windowText" lastClr="000000">
                  <a:lumMod val="65000"/>
                  <a:lumOff val="35000"/>
                </a:sysClr>
              </a:solidFill>
              <a:latin typeface="Aharoni" panose="02010803020104030203" pitchFamily="2" charset="-79"/>
              <a:cs typeface="Aharoni" panose="02010803020104030203" pitchFamily="2" charset="-79"/>
            </a:rPr>
            <a:t>QUANTITY SALES</a:t>
          </a:r>
        </a:p>
      </cx:txPr>
    </cx:title>
    <cx:plotArea>
      <cx:plotAreaRegion>
        <cx:series layoutId="treemap" uniqueId="{8DECC647-6C9A-42BC-B6AF-61B1C62FFA65}">
          <cx:dataId val="0"/>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haroni" panose="02010803020104030203" pitchFamily="2" charset="-79"/>
                <a:cs typeface="Aharoni" panose="02010803020104030203" pitchFamily="2" charset="-79"/>
              </a:rPr>
              <a:t>CATEGORY</a:t>
            </a:r>
            <a:r>
              <a:rPr lang="en-US" sz="1400" b="0" i="0" u="none" strike="noStrike" baseline="0">
                <a:solidFill>
                  <a:sysClr val="windowText" lastClr="000000">
                    <a:lumMod val="65000"/>
                    <a:lumOff val="35000"/>
                  </a:sysClr>
                </a:solidFill>
                <a:latin typeface="Calibri" panose="020F0502020204030204"/>
              </a:rPr>
              <a:t> </a:t>
            </a:r>
            <a:r>
              <a:rPr lang="en-US" sz="1400" b="0" i="0" u="none" strike="noStrike" baseline="0">
                <a:solidFill>
                  <a:sysClr val="windowText" lastClr="000000">
                    <a:lumMod val="65000"/>
                    <a:lumOff val="35000"/>
                  </a:sysClr>
                </a:solidFill>
                <a:latin typeface="Aharoni" panose="02010803020104030203" pitchFamily="2" charset="-79"/>
                <a:cs typeface="Aharoni" panose="02010803020104030203" pitchFamily="2" charset="-79"/>
              </a:rPr>
              <a:t>SALES</a:t>
            </a:r>
          </a:p>
        </cx:rich>
      </cx:tx>
    </cx:title>
    <cx:plotArea>
      <cx:plotAreaRegion>
        <cx:series layoutId="waterfall" uniqueId="{E6C782A6-1B78-43A6-906B-81BA71478EB3}">
          <cx:tx>
            <cx:txData>
              <cx:f>_xlchart.v1.2</cx:f>
              <cx:v>Sum of AMOUNT ($)</cx:v>
            </cx:txData>
          </cx:tx>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chart" Target="../charts/chart1.xml"/><Relationship Id="rId2" Type="http://schemas.openxmlformats.org/officeDocument/2006/relationships/image" Target="../media/image2.emf"/><Relationship Id="rId1" Type="http://schemas.openxmlformats.org/officeDocument/2006/relationships/image" Target="../media/image1.emf"/><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oneCellAnchor>
    <xdr:from>
      <xdr:col>1</xdr:col>
      <xdr:colOff>0</xdr:colOff>
      <xdr:row>2</xdr:row>
      <xdr:rowOff>19050</xdr:rowOff>
    </xdr:from>
    <xdr:ext cx="1295400" cy="561975"/>
    <xdr:pic>
      <xdr:nvPicPr>
        <xdr:cNvPr id="2" name="Picture 1">
          <a:extLst>
            <a:ext uri="{FF2B5EF4-FFF2-40B4-BE49-F238E27FC236}">
              <a16:creationId xmlns:a16="http://schemas.microsoft.com/office/drawing/2014/main" id="{FA397D1C-9D76-4D04-B2CA-1B9018CBC1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00050"/>
          <a:ext cx="1295400" cy="5619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609599</xdr:colOff>
      <xdr:row>2</xdr:row>
      <xdr:rowOff>9525</xdr:rowOff>
    </xdr:from>
    <xdr:ext cx="1247776" cy="600075"/>
    <xdr:pic>
      <xdr:nvPicPr>
        <xdr:cNvPr id="3" name="Picture 2">
          <a:extLst>
            <a:ext uri="{FF2B5EF4-FFF2-40B4-BE49-F238E27FC236}">
              <a16:creationId xmlns:a16="http://schemas.microsoft.com/office/drawing/2014/main" id="{A9F03A11-8C88-40C7-9111-374AECC6E1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799" y="390525"/>
          <a:ext cx="1247776" cy="600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9525</xdr:colOff>
      <xdr:row>2</xdr:row>
      <xdr:rowOff>19049</xdr:rowOff>
    </xdr:from>
    <xdr:ext cx="1247775" cy="609601"/>
    <xdr:pic>
      <xdr:nvPicPr>
        <xdr:cNvPr id="4" name="Picture 3">
          <a:extLst>
            <a:ext uri="{FF2B5EF4-FFF2-40B4-BE49-F238E27FC236}">
              <a16:creationId xmlns:a16="http://schemas.microsoft.com/office/drawing/2014/main" id="{064314D8-D725-4520-9619-D7322C8D919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57525" y="400049"/>
          <a:ext cx="1247775" cy="6096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609599</xdr:colOff>
      <xdr:row>1</xdr:row>
      <xdr:rowOff>409574</xdr:rowOff>
    </xdr:from>
    <xdr:ext cx="1257301" cy="600075"/>
    <xdr:pic>
      <xdr:nvPicPr>
        <xdr:cNvPr id="5" name="Picture 4">
          <a:extLst>
            <a:ext uri="{FF2B5EF4-FFF2-40B4-BE49-F238E27FC236}">
              <a16:creationId xmlns:a16="http://schemas.microsoft.com/office/drawing/2014/main" id="{15992487-89D8-40A9-90D6-D3B82AD3B93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67199" y="380999"/>
          <a:ext cx="1257301" cy="600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5</xdr:col>
      <xdr:colOff>47625</xdr:colOff>
      <xdr:row>7</xdr:row>
      <xdr:rowOff>38100</xdr:rowOff>
    </xdr:from>
    <xdr:to>
      <xdr:col>9</xdr:col>
      <xdr:colOff>466725</xdr:colOff>
      <xdr:row>28</xdr:row>
      <xdr:rowOff>28575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85DC6D3-1B9C-47E2-86B5-E30A0B93A6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095625" y="1371600"/>
              <a:ext cx="2857500" cy="3990975"/>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457201</xdr:colOff>
      <xdr:row>6</xdr:row>
      <xdr:rowOff>161925</xdr:rowOff>
    </xdr:from>
    <xdr:to>
      <xdr:col>4</xdr:col>
      <xdr:colOff>447676</xdr:colOff>
      <xdr:row>27</xdr:row>
      <xdr:rowOff>152400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0C021A0-023C-40D0-98ED-BE3A9383B2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7201" y="1304925"/>
              <a:ext cx="2428875" cy="3990975"/>
            </a:xfrm>
            <a:prstGeom prst="rect">
              <a:avLst/>
            </a:prstGeom>
            <a:solidFill>
              <a:prstClr val="white"/>
            </a:solidFill>
            <a:ln w="1">
              <a:solidFill>
                <a:prstClr val="green"/>
              </a:solidFill>
            </a:ln>
          </xdr:spPr>
          <xdr:txBody>
            <a:bodyPr vertOverflow="clip" horzOverflow="clip"/>
            <a:lstStyle/>
            <a:p>
              <a:r>
                <a:rPr lang="hi-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581025</xdr:colOff>
      <xdr:row>0</xdr:row>
      <xdr:rowOff>0</xdr:rowOff>
    </xdr:from>
    <xdr:to>
      <xdr:col>15</xdr:col>
      <xdr:colOff>123825</xdr:colOff>
      <xdr:row>6</xdr:row>
      <xdr:rowOff>28574</xdr:rowOff>
    </xdr:to>
    <xdr:graphicFrame macro="">
      <xdr:nvGraphicFramePr>
        <xdr:cNvPr id="8" name="Chart 7">
          <a:extLst>
            <a:ext uri="{FF2B5EF4-FFF2-40B4-BE49-F238E27FC236}">
              <a16:creationId xmlns:a16="http://schemas.microsoft.com/office/drawing/2014/main" id="{9B1CA063-8A27-4033-B886-EF89ECA54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9</xdr:col>
      <xdr:colOff>504825</xdr:colOff>
      <xdr:row>16</xdr:row>
      <xdr:rowOff>114301</xdr:rowOff>
    </xdr:from>
    <xdr:ext cx="1828800" cy="1295400"/>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8A55BBF1-65E3-4698-89DD-44E646DD36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53450" y="3838576"/>
              <a:ext cx="1828800" cy="129540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495300</xdr:colOff>
      <xdr:row>23</xdr:row>
      <xdr:rowOff>123826</xdr:rowOff>
    </xdr:from>
    <xdr:ext cx="1828800" cy="1504950"/>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C401E0E-93EB-4E80-9FB1-53C2DCB72B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43925" y="5181601"/>
              <a:ext cx="1828800" cy="150495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523875</xdr:colOff>
      <xdr:row>7</xdr:row>
      <xdr:rowOff>76201</xdr:rowOff>
    </xdr:from>
    <xdr:ext cx="1828800" cy="1733550"/>
    <mc:AlternateContent xmlns:mc="http://schemas.openxmlformats.org/markup-compatibility/2006">
      <mc:Choice xmlns:a14="http://schemas.microsoft.com/office/drawing/2010/main" Requires="a14">
        <xdr:graphicFrame macro="">
          <xdr:nvGraphicFramePr>
            <xdr:cNvPr id="11" name="REGION 2">
              <a:extLst>
                <a:ext uri="{FF2B5EF4-FFF2-40B4-BE49-F238E27FC236}">
                  <a16:creationId xmlns:a16="http://schemas.microsoft.com/office/drawing/2014/main" id="{21F6F7EF-B447-439C-A891-C7D8BA98B44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572500" y="2038351"/>
              <a:ext cx="1828800" cy="173355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ASHA%20OVERALL%20EXCEL%20.03/DASHBOARD.ASH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THPC-11" refreshedDate="45972.550096990744" createdVersion="6" refreshedVersion="6" minRefreshableVersion="3" recordCount="12" xr:uid="{BF73C2C9-82E2-4096-AC6C-2B87E8204112}">
  <cacheSource type="worksheet">
    <worksheetSource name="Table3" r:id="rId2"/>
  </cacheSource>
  <cacheFields count="13">
    <cacheField name="ORDER ID" numFmtId="0">
      <sharedItems count="12">
        <s v="ORD001"/>
        <s v="ORD002"/>
        <s v="ORD003"/>
        <s v="ORD004"/>
        <s v="ORD005"/>
        <s v="ORD006"/>
        <s v="ORD007"/>
        <s v="ORD008"/>
        <s v="ORD009"/>
        <s v="ORD010"/>
        <s v="ORD011"/>
        <s v="ORD012"/>
      </sharedItems>
    </cacheField>
    <cacheField name="ORDER DATE" numFmtId="14">
      <sharedItems containsSemiMixedTypes="0" containsNonDate="0" containsDate="1" containsString="0" minDate="2025-01-15T00:00:00" maxDate="2025-12-11T00:00:00" count="12">
        <d v="2025-01-15T00:00:00"/>
        <d v="2025-02-10T00:00:00"/>
        <d v="2025-03-05T00:00:00"/>
        <d v="2025-04-22T00:00:00"/>
        <d v="2025-05-18T00:00:00"/>
        <d v="2025-06-03T00:00:00"/>
        <d v="2025-07-15T00:00:00"/>
        <d v="2025-08-01T00:00:00"/>
        <d v="2025-09-20T00:00:00"/>
        <d v="2025-10-05T00:00:00"/>
        <d v="2025-11-22T00:00:00"/>
        <d v="2025-12-10T00:00:00"/>
      </sharedItems>
      <fieldGroup par="12" base="1">
        <rangePr groupBy="days" startDate="2025-01-15T00:00:00" endDate="2025-12-11T00:00:00"/>
        <groupItems count="368">
          <s v="&lt;1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12/2025"/>
        </groupItems>
      </fieldGroup>
    </cacheField>
    <cacheField name="YEAR" numFmtId="0">
      <sharedItems containsSemiMixedTypes="0" containsString="0" containsNumber="1" containsInteger="1" minValue="2025" maxValue="2025" count="1">
        <n v="2025"/>
      </sharedItems>
    </cacheField>
    <cacheField name="CUSTOMER ID" numFmtId="0">
      <sharedItems count="12">
        <s v="CUST1001"/>
        <s v="CUST1002"/>
        <s v="CUST1003"/>
        <s v="CUST1004"/>
        <s v="CUST1005"/>
        <s v="CUST1006"/>
        <s v="CUST1007"/>
        <s v="CUST1008"/>
        <s v="CUST1009"/>
        <s v="CUST1010"/>
        <s v="CUST1011"/>
        <s v="CUST1012"/>
      </sharedItems>
    </cacheField>
    <cacheField name="REGION" numFmtId="0">
      <sharedItems count="5">
        <s v="North"/>
        <s v="South"/>
        <s v="East"/>
        <s v="West"/>
        <s v="Central"/>
      </sharedItems>
    </cacheField>
    <cacheField name="CUSTOMER NAME" numFmtId="0">
      <sharedItems count="12">
        <s v="Alice Johnson"/>
        <s v="Ravi Kumar"/>
        <s v="Mei Ling"/>
        <s v="Carlos Rivera"/>
        <s v="Fatima Noor"/>
        <s v="Priya Desai"/>
        <s v="John Smith"/>
        <s v="Haruto Tanaka"/>
        <s v="Sofia Martinez"/>
        <s v="Ahmed Khan"/>
        <s v="Emily Chen"/>
        <s v="Rajiv Menon"/>
      </sharedItems>
    </cacheField>
    <cacheField name="CATEGORY" numFmtId="0">
      <sharedItems count="4">
        <s v="Electronics"/>
        <s v="Furniture"/>
        <s v="Apparel"/>
        <s v="Kitchenware"/>
      </sharedItems>
    </cacheField>
    <cacheField name="PRODUCT" numFmtId="0">
      <sharedItems count="12">
        <s v="Bluetooth Speaker"/>
        <s v="Office Chair"/>
        <s v="Winter Jacket"/>
        <s v="Blender"/>
        <s v="Smartwatch"/>
        <s v="Wireless Mouse"/>
        <s v="Coffee Table"/>
        <s v="Running Shoes"/>
        <s v="Air Fryer"/>
        <s v="Noise-Canceling Headphones"/>
        <s v="Bookshelf"/>
        <s v="Leather Belt"/>
      </sharedItems>
    </cacheField>
    <cacheField name="PRICE ($)" numFmtId="0">
      <sharedItems containsSemiMixedTypes="0" containsString="0" containsNumber="1" containsInteger="1" minValue="25" maxValue="200" count="11">
        <n v="50"/>
        <n v="120"/>
        <n v="80"/>
        <n v="65"/>
        <n v="200"/>
        <n v="25"/>
        <n v="150"/>
        <n v="90"/>
        <n v="110"/>
        <n v="180"/>
        <n v="40"/>
      </sharedItems>
    </cacheField>
    <cacheField name="QUANTITY" numFmtId="0">
      <sharedItems containsSemiMixedTypes="0" containsString="0" containsNumber="1" containsInteger="1" minValue="1" maxValue="4" count="4">
        <n v="2"/>
        <n v="1"/>
        <n v="3"/>
        <n v="4"/>
      </sharedItems>
    </cacheField>
    <cacheField name="AMOUNT ($)" numFmtId="0">
      <sharedItems containsSemiMixedTypes="0" containsString="0" containsNumber="1" containsInteger="1" minValue="80" maxValue="240" count="9">
        <n v="100"/>
        <n v="120"/>
        <n v="240"/>
        <n v="130"/>
        <n v="200"/>
        <n v="150"/>
        <n v="180"/>
        <n v="110"/>
        <n v="80"/>
      </sharedItems>
    </cacheField>
    <cacheField name="PROFIT (10%)" numFmtId="0">
      <sharedItems containsSemiMixedTypes="0" containsString="0" containsNumber="1" containsInteger="1" minValue="8" maxValue="24" count="9">
        <n v="10"/>
        <n v="12"/>
        <n v="24"/>
        <n v="13"/>
        <n v="20"/>
        <n v="15"/>
        <n v="18"/>
        <n v="11"/>
        <n v="8"/>
      </sharedItems>
    </cacheField>
    <cacheField name="Months" numFmtId="0" databaseField="0">
      <fieldGroup base="1">
        <rangePr groupBy="months" startDate="2025-01-15T00:00:00" endDate="2025-12-11T00:00:00"/>
        <groupItems count="14">
          <s v="&lt;15/01/2025"/>
          <s v="Jan"/>
          <s v="Feb"/>
          <s v="Mar"/>
          <s v="Apr"/>
          <s v="May"/>
          <s v="Jun"/>
          <s v="Jul"/>
          <s v="Aug"/>
          <s v="Sep"/>
          <s v="Oct"/>
          <s v="Nov"/>
          <s v="Dec"/>
          <s v="&gt;11/12/2025"/>
        </groupItems>
      </fieldGroup>
    </cacheField>
  </cacheFields>
  <extLst>
    <ext xmlns:x14="http://schemas.microsoft.com/office/spreadsheetml/2009/9/main" uri="{725AE2AE-9491-48be-B2B4-4EB974FC3084}">
      <x14:pivotCacheDefinition pivotCacheId="953618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x v="0"/>
    <x v="0"/>
    <x v="0"/>
    <x v="0"/>
    <x v="0"/>
    <x v="0"/>
    <x v="0"/>
    <x v="0"/>
  </r>
  <r>
    <x v="1"/>
    <x v="1"/>
    <x v="0"/>
    <x v="1"/>
    <x v="1"/>
    <x v="1"/>
    <x v="1"/>
    <x v="1"/>
    <x v="1"/>
    <x v="1"/>
    <x v="1"/>
    <x v="1"/>
  </r>
  <r>
    <x v="2"/>
    <x v="2"/>
    <x v="0"/>
    <x v="2"/>
    <x v="2"/>
    <x v="2"/>
    <x v="2"/>
    <x v="2"/>
    <x v="2"/>
    <x v="2"/>
    <x v="2"/>
    <x v="2"/>
  </r>
  <r>
    <x v="3"/>
    <x v="3"/>
    <x v="0"/>
    <x v="3"/>
    <x v="3"/>
    <x v="3"/>
    <x v="3"/>
    <x v="3"/>
    <x v="3"/>
    <x v="0"/>
    <x v="3"/>
    <x v="3"/>
  </r>
  <r>
    <x v="4"/>
    <x v="4"/>
    <x v="0"/>
    <x v="4"/>
    <x v="4"/>
    <x v="4"/>
    <x v="0"/>
    <x v="4"/>
    <x v="4"/>
    <x v="1"/>
    <x v="4"/>
    <x v="4"/>
  </r>
  <r>
    <x v="5"/>
    <x v="5"/>
    <x v="0"/>
    <x v="5"/>
    <x v="0"/>
    <x v="5"/>
    <x v="0"/>
    <x v="5"/>
    <x v="5"/>
    <x v="3"/>
    <x v="0"/>
    <x v="0"/>
  </r>
  <r>
    <x v="6"/>
    <x v="6"/>
    <x v="0"/>
    <x v="6"/>
    <x v="1"/>
    <x v="6"/>
    <x v="1"/>
    <x v="6"/>
    <x v="6"/>
    <x v="1"/>
    <x v="5"/>
    <x v="5"/>
  </r>
  <r>
    <x v="7"/>
    <x v="7"/>
    <x v="0"/>
    <x v="7"/>
    <x v="2"/>
    <x v="7"/>
    <x v="2"/>
    <x v="7"/>
    <x v="7"/>
    <x v="0"/>
    <x v="6"/>
    <x v="6"/>
  </r>
  <r>
    <x v="8"/>
    <x v="8"/>
    <x v="0"/>
    <x v="8"/>
    <x v="3"/>
    <x v="8"/>
    <x v="3"/>
    <x v="8"/>
    <x v="8"/>
    <x v="1"/>
    <x v="7"/>
    <x v="7"/>
  </r>
  <r>
    <x v="9"/>
    <x v="9"/>
    <x v="0"/>
    <x v="9"/>
    <x v="4"/>
    <x v="9"/>
    <x v="0"/>
    <x v="9"/>
    <x v="9"/>
    <x v="1"/>
    <x v="6"/>
    <x v="6"/>
  </r>
  <r>
    <x v="10"/>
    <x v="10"/>
    <x v="0"/>
    <x v="10"/>
    <x v="0"/>
    <x v="10"/>
    <x v="1"/>
    <x v="10"/>
    <x v="4"/>
    <x v="1"/>
    <x v="4"/>
    <x v="4"/>
  </r>
  <r>
    <x v="11"/>
    <x v="11"/>
    <x v="0"/>
    <x v="11"/>
    <x v="1"/>
    <x v="11"/>
    <x v="2"/>
    <x v="11"/>
    <x v="10"/>
    <x v="0"/>
    <x v="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49CFF-B5EA-4356-BA5F-D0236FDBAAD2}" name="PivotTable1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fieldListSortAscending="1">
  <location ref="A25:B27" firstHeaderRow="1" firstDataRow="1" firstDataCol="1"/>
  <pivotFields count="13">
    <pivotField showAll="0"/>
    <pivotField numFmtId="14" showAll="0"/>
    <pivotField showAll="0">
      <items count="2">
        <item x="0"/>
        <item t="default"/>
      </items>
    </pivotField>
    <pivotField showAll="0"/>
    <pivotField showAll="0">
      <items count="6">
        <item h="1" x="2"/>
        <item x="1"/>
        <item h="1" x="0"/>
        <item h="1" x="3"/>
        <item h="1" x="4"/>
        <item t="default"/>
      </items>
    </pivotField>
    <pivotField showAll="0"/>
    <pivotField axis="axisRow" showAll="0" sortType="descending">
      <items count="5">
        <item h="1" x="3"/>
        <item x="1"/>
        <item h="1" x="2"/>
        <item h="1" x="0"/>
        <item t="default"/>
      </items>
    </pivotField>
    <pivotField showAll="0"/>
    <pivotField showAll="0"/>
    <pivotField showAll="0"/>
    <pivotField dataField="1" showAll="0"/>
    <pivotField showAll="0"/>
    <pivotField showAll="0" defaultSubtotal="0"/>
  </pivotFields>
  <rowFields count="1">
    <field x="6"/>
  </rowFields>
  <rowItems count="2">
    <i>
      <x v="1"/>
    </i>
    <i t="grand">
      <x/>
    </i>
  </rowItems>
  <colItems count="1">
    <i/>
  </colItems>
  <dataFields count="1">
    <dataField name="Sum of AMOUNT ($)" fld="10" baseField="0" baseItem="0"/>
  </dataFields>
  <formats count="12">
    <format dxfId="0">
      <pivotArea type="all" dataOnly="0" outline="0" fieldPosition="0"/>
    </format>
    <format dxfId="1">
      <pivotArea outline="0" collapsedLevelsAreSubtotals="1" fieldPosition="0"/>
    </format>
    <format dxfId="2">
      <pivotArea field="6" type="button" dataOnly="0" labelOnly="1" outline="0" axis="axisRow" fieldPosition="0"/>
    </format>
    <format dxfId="3">
      <pivotArea dataOnly="0" labelOnly="1" fieldPosition="0">
        <references count="1">
          <reference field="6" count="0"/>
        </references>
      </pivotArea>
    </format>
    <format dxfId="4">
      <pivotArea dataOnly="0" labelOnly="1" grandRow="1" outline="0" fieldPosition="0"/>
    </format>
    <format dxfId="5">
      <pivotArea dataOnly="0" labelOnly="1" outline="0" axis="axisValues" fieldPosition="0"/>
    </format>
    <format dxfId="6">
      <pivotArea type="all" dataOnly="0" outline="0" fieldPosition="0"/>
    </format>
    <format dxfId="7">
      <pivotArea outline="0" collapsedLevelsAreSubtotals="1" fieldPosition="0"/>
    </format>
    <format dxfId="8">
      <pivotArea field="6" type="button" dataOnly="0" labelOnly="1" outline="0" axis="axisRow" fieldPosition="0"/>
    </format>
    <format dxfId="9">
      <pivotArea dataOnly="0" labelOnly="1" fieldPosition="0">
        <references count="1">
          <reference field="6" count="0"/>
        </references>
      </pivotArea>
    </format>
    <format dxfId="10">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94A3AB-62D0-4F7C-9DB9-C81FC4438CDE}"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4:B47" firstHeaderRow="1" firstDataRow="1" firstDataCol="1"/>
  <pivotFields count="13">
    <pivotField showAll="0"/>
    <pivotField numFmtId="14" showAll="0"/>
    <pivotField showAll="0">
      <items count="2">
        <item x="0"/>
        <item t="default"/>
      </items>
    </pivotField>
    <pivotField showAll="0"/>
    <pivotField showAll="0"/>
    <pivotField showAll="0"/>
    <pivotField showAll="0"/>
    <pivotField axis="axisRow" showAll="0">
      <items count="13">
        <item x="8"/>
        <item x="3"/>
        <item x="0"/>
        <item x="10"/>
        <item x="6"/>
        <item x="11"/>
        <item x="9"/>
        <item x="1"/>
        <item x="7"/>
        <item x="4"/>
        <item x="2"/>
        <item x="5"/>
        <item t="default"/>
      </items>
    </pivotField>
    <pivotField showAll="0"/>
    <pivotField showAll="0"/>
    <pivotField dataField="1" showAll="0"/>
    <pivotField showAll="0"/>
    <pivotField showAll="0" defaultSubtotal="0"/>
  </pivotFields>
  <rowFields count="1">
    <field x="7"/>
  </rowFields>
  <rowItems count="13">
    <i>
      <x/>
    </i>
    <i>
      <x v="1"/>
    </i>
    <i>
      <x v="2"/>
    </i>
    <i>
      <x v="3"/>
    </i>
    <i>
      <x v="4"/>
    </i>
    <i>
      <x v="5"/>
    </i>
    <i>
      <x v="6"/>
    </i>
    <i>
      <x v="7"/>
    </i>
    <i>
      <x v="8"/>
    </i>
    <i>
      <x v="9"/>
    </i>
    <i>
      <x v="10"/>
    </i>
    <i>
      <x v="11"/>
    </i>
    <i t="grand">
      <x/>
    </i>
  </rowItems>
  <colItems count="1">
    <i/>
  </colItems>
  <dataFields count="1">
    <dataField name="Sum of AMOUNT ($)" fld="10" baseField="0" baseItem="0"/>
  </dataFields>
  <formats count="12">
    <format dxfId="12">
      <pivotArea type="all" dataOnly="0" outline="0" fieldPosition="0"/>
    </format>
    <format dxfId="13">
      <pivotArea outline="0" collapsedLevelsAreSubtotals="1" fieldPosition="0"/>
    </format>
    <format dxfId="14">
      <pivotArea field="7" type="button" dataOnly="0" labelOnly="1" outline="0" axis="axisRow" fieldPosition="0"/>
    </format>
    <format dxfId="15">
      <pivotArea dataOnly="0" labelOnly="1" fieldPosition="0">
        <references count="1">
          <reference field="7" count="0"/>
        </references>
      </pivotArea>
    </format>
    <format dxfId="16">
      <pivotArea dataOnly="0" labelOnly="1" grandRow="1" outline="0" fieldPosition="0"/>
    </format>
    <format dxfId="17">
      <pivotArea dataOnly="0" labelOnly="1" outline="0" axis="axisValues" fieldPosition="0"/>
    </format>
    <format dxfId="18">
      <pivotArea type="all" dataOnly="0" outline="0" fieldPosition="0"/>
    </format>
    <format dxfId="19">
      <pivotArea outline="0" collapsedLevelsAreSubtotals="1" fieldPosition="0"/>
    </format>
    <format dxfId="20">
      <pivotArea field="7" type="button" dataOnly="0" labelOnly="1" outline="0" axis="axisRow" fieldPosition="0"/>
    </format>
    <format dxfId="21">
      <pivotArea dataOnly="0" labelOnly="1" fieldPosition="0">
        <references count="1">
          <reference field="7" count="0"/>
        </references>
      </pivotArea>
    </format>
    <format dxfId="22">
      <pivotArea dataOnly="0" labelOnly="1" grandRow="1" outline="0"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734B7-6A79-451E-93F0-9E16AA84FDE8}"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2:B57" firstHeaderRow="1" firstDataRow="1" firstDataCol="1"/>
  <pivotFields count="13">
    <pivotField showAll="0"/>
    <pivotField numFmtId="14" showAll="0"/>
    <pivotField showAll="0">
      <items count="2">
        <item x="0"/>
        <item t="default"/>
      </items>
    </pivotField>
    <pivotField showAll="0"/>
    <pivotField showAll="0"/>
    <pivotField showAll="0"/>
    <pivotField showAll="0"/>
    <pivotField showAll="0"/>
    <pivotField showAll="0"/>
    <pivotField axis="axisRow" showAll="0">
      <items count="5">
        <item x="1"/>
        <item x="0"/>
        <item x="2"/>
        <item x="3"/>
        <item t="default"/>
      </items>
    </pivotField>
    <pivotField dataField="1" showAll="0"/>
    <pivotField showAll="0"/>
    <pivotField showAll="0" defaultSubtotal="0"/>
  </pivotFields>
  <rowFields count="1">
    <field x="9"/>
  </rowFields>
  <rowItems count="5">
    <i>
      <x/>
    </i>
    <i>
      <x v="1"/>
    </i>
    <i>
      <x v="2"/>
    </i>
    <i>
      <x v="3"/>
    </i>
    <i t="grand">
      <x/>
    </i>
  </rowItems>
  <colItems count="1">
    <i/>
  </colItems>
  <dataFields count="1">
    <dataField name="Sum of AMOUNT ($)" fld="10" baseField="0" baseItem="0"/>
  </dataFields>
  <formats count="12">
    <format dxfId="24">
      <pivotArea type="all" dataOnly="0" outline="0" fieldPosition="0"/>
    </format>
    <format dxfId="25">
      <pivotArea outline="0" collapsedLevelsAreSubtotals="1" fieldPosition="0"/>
    </format>
    <format dxfId="26">
      <pivotArea field="9" type="button" dataOnly="0" labelOnly="1" outline="0" axis="axisRow" fieldPosition="0"/>
    </format>
    <format dxfId="27">
      <pivotArea dataOnly="0" labelOnly="1" fieldPosition="0">
        <references count="1">
          <reference field="9" count="0"/>
        </references>
      </pivotArea>
    </format>
    <format dxfId="28">
      <pivotArea dataOnly="0" labelOnly="1" grandRow="1" outline="0" fieldPosition="0"/>
    </format>
    <format dxfId="29">
      <pivotArea dataOnly="0" labelOnly="1" outline="0" axis="axisValues" fieldPosition="0"/>
    </format>
    <format dxfId="30">
      <pivotArea type="all" dataOnly="0" outline="0" fieldPosition="0"/>
    </format>
    <format dxfId="31">
      <pivotArea outline="0" collapsedLevelsAreSubtotals="1" fieldPosition="0"/>
    </format>
    <format dxfId="32">
      <pivotArea field="9" type="button" dataOnly="0" labelOnly="1" outline="0" axis="axisRow" fieldPosition="0"/>
    </format>
    <format dxfId="33">
      <pivotArea dataOnly="0" labelOnly="1" fieldPosition="0">
        <references count="1">
          <reference field="9" count="0"/>
        </references>
      </pivotArea>
    </format>
    <format dxfId="34">
      <pivotArea dataOnly="0" labelOnly="1" grandRow="1" outline="0"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94EF73-6711-435E-B13E-F05F4FB8819F}"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61:B66" firstHeaderRow="1" firstDataRow="1" firstDataCol="1"/>
  <pivotFields count="13">
    <pivotField showAll="0"/>
    <pivotField numFmtId="14" showAll="0"/>
    <pivotField showAll="0">
      <items count="2">
        <item x="0"/>
        <item t="default"/>
      </items>
    </pivotField>
    <pivotField showAll="0"/>
    <pivotField showAll="0"/>
    <pivotField showAll="0"/>
    <pivotField axis="axisRow" showAll="0">
      <items count="5">
        <item x="0"/>
        <item x="2"/>
        <item x="1"/>
        <item x="3"/>
        <item t="default"/>
      </items>
    </pivotField>
    <pivotField showAll="0"/>
    <pivotField showAll="0"/>
    <pivotField dataField="1" showAll="0"/>
    <pivotField showAll="0"/>
    <pivotField showAll="0"/>
    <pivotField showAll="0" defaultSubtotal="0"/>
  </pivotFields>
  <rowFields count="1">
    <field x="6"/>
  </rowFields>
  <rowItems count="5">
    <i>
      <x/>
    </i>
    <i>
      <x v="1"/>
    </i>
    <i>
      <x v="2"/>
    </i>
    <i>
      <x v="3"/>
    </i>
    <i t="grand">
      <x/>
    </i>
  </rowItems>
  <colItems count="1">
    <i/>
  </colItems>
  <dataFields count="1">
    <dataField name="Sum of QUANTITY" fld="9" baseField="0" baseItem="0"/>
  </dataFields>
  <formats count="12">
    <format dxfId="36">
      <pivotArea type="all" dataOnly="0" outline="0" fieldPosition="0"/>
    </format>
    <format dxfId="37">
      <pivotArea outline="0" collapsedLevelsAreSubtotals="1" fieldPosition="0"/>
    </format>
    <format dxfId="38">
      <pivotArea field="6" type="button" dataOnly="0" labelOnly="1" outline="0" axis="axisRow" fieldPosition="0"/>
    </format>
    <format dxfId="39">
      <pivotArea dataOnly="0" labelOnly="1" fieldPosition="0">
        <references count="1">
          <reference field="6" count="0"/>
        </references>
      </pivotArea>
    </format>
    <format dxfId="40">
      <pivotArea dataOnly="0" labelOnly="1" grandRow="1" outline="0" fieldPosition="0"/>
    </format>
    <format dxfId="41">
      <pivotArea dataOnly="0" labelOnly="1" outline="0" axis="axisValues" fieldPosition="0"/>
    </format>
    <format dxfId="42">
      <pivotArea type="all" dataOnly="0" outline="0" fieldPosition="0"/>
    </format>
    <format dxfId="43">
      <pivotArea outline="0" collapsedLevelsAreSubtotals="1" fieldPosition="0"/>
    </format>
    <format dxfId="44">
      <pivotArea field="6" type="button" dataOnly="0" labelOnly="1" outline="0" axis="axisRow" fieldPosition="0"/>
    </format>
    <format dxfId="45">
      <pivotArea dataOnly="0" labelOnly="1" fieldPosition="0">
        <references count="1">
          <reference field="6" count="0"/>
        </references>
      </pivotArea>
    </format>
    <format dxfId="46">
      <pivotArea dataOnly="0" labelOnly="1" grandRow="1" outline="0" fieldPosition="0"/>
    </format>
    <format dxfId="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C55DC6-B033-405C-8BB9-966B5A622E1F}"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E16" firstHeaderRow="0" firstDataRow="1" firstDataCol="1"/>
  <pivotFields count="13">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
        <item x="0"/>
        <item t="default"/>
      </items>
    </pivotField>
    <pivotField showAll="0"/>
    <pivotField showAll="0"/>
    <pivotField showAll="0"/>
    <pivotField showAll="0"/>
    <pivotField showAll="0"/>
    <pivotField showAll="0"/>
    <pivotField dataField="1" showAll="0"/>
    <pivotField dataField="1"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2"/>
    <field x="1"/>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Count of ORDER ID" fld="0" subtotal="count" baseField="0" baseItem="0"/>
    <dataField name="Sum of AMOUNT ($)" fld="10" baseField="0" baseItem="0"/>
    <dataField name="Sum of QUANTITY" fld="9" baseField="0" baseItem="0"/>
    <dataField name="Sum of PROFIT (10%)" fld="11" baseField="0" baseItem="0"/>
  </dataFields>
  <formats count="12">
    <format dxfId="48">
      <pivotArea type="all" dataOnly="0" outline="0" fieldPosition="0"/>
    </format>
    <format dxfId="49">
      <pivotArea outline="0" collapsedLevelsAreSubtotals="1" fieldPosition="0"/>
    </format>
    <format dxfId="50">
      <pivotArea field="12" type="button" dataOnly="0" labelOnly="1" outline="0" axis="axisRow" fieldPosition="0"/>
    </format>
    <format dxfId="51">
      <pivotArea dataOnly="0" labelOnly="1" fieldPosition="0">
        <references count="1">
          <reference field="12" count="12">
            <x v="1"/>
            <x v="2"/>
            <x v="3"/>
            <x v="4"/>
            <x v="5"/>
            <x v="6"/>
            <x v="7"/>
            <x v="8"/>
            <x v="9"/>
            <x v="10"/>
            <x v="11"/>
            <x v="12"/>
          </reference>
        </references>
      </pivotArea>
    </format>
    <format dxfId="52">
      <pivotArea dataOnly="0" labelOnly="1" grandRow="1" outline="0" fieldPosition="0"/>
    </format>
    <format dxfId="53">
      <pivotArea dataOnly="0" labelOnly="1" outline="0" fieldPosition="0">
        <references count="1">
          <reference field="4294967294" count="4">
            <x v="0"/>
            <x v="1"/>
            <x v="2"/>
            <x v="3"/>
          </reference>
        </references>
      </pivotArea>
    </format>
    <format dxfId="54">
      <pivotArea type="all" dataOnly="0" outline="0" fieldPosition="0"/>
    </format>
    <format dxfId="55">
      <pivotArea outline="0" collapsedLevelsAreSubtotals="1" fieldPosition="0"/>
    </format>
    <format dxfId="56">
      <pivotArea field="12" type="button" dataOnly="0" labelOnly="1" outline="0" axis="axisRow" fieldPosition="0"/>
    </format>
    <format dxfId="57">
      <pivotArea dataOnly="0" labelOnly="1" fieldPosition="0">
        <references count="1">
          <reference field="12" count="12">
            <x v="1"/>
            <x v="2"/>
            <x v="3"/>
            <x v="4"/>
            <x v="5"/>
            <x v="6"/>
            <x v="7"/>
            <x v="8"/>
            <x v="9"/>
            <x v="10"/>
            <x v="11"/>
            <x v="12"/>
          </reference>
        </references>
      </pivotArea>
    </format>
    <format dxfId="58">
      <pivotArea dataOnly="0" labelOnly="1" grandRow="1" outline="0" fieldPosition="0"/>
    </format>
    <format dxfId="59">
      <pivotArea dataOnly="0" labelOnly="1" outline="0" fieldPosition="0">
        <references count="1">
          <reference field="4294967294" count="4">
            <x v="0"/>
            <x v="1"/>
            <x v="2"/>
            <x v="3"/>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4" format="10" series="1">
      <pivotArea type="data" outline="0" fieldPosition="0">
        <references count="1">
          <reference field="4294967294" count="1" selected="0">
            <x v="2"/>
          </reference>
        </references>
      </pivotArea>
    </chartFormat>
    <chartFormat chart="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38DBEAE-418D-41F0-8F83-1454EA275789}" sourceName="YEAR">
  <data>
    <tabular pivotCacheId="953618054">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E5E360-994C-4D4E-9340-592DE6BD794C}" sourceName="CATEGORY">
  <data>
    <tabular pivotCacheId="953618054">
      <items count="4">
        <i x="0"/>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7FC2B40-1200-42E6-97A4-86863968DBFE}" sourceName="REGION">
  <data>
    <tabular pivotCacheId="953618054">
      <items count="5">
        <i x="2"/>
        <i x="1" s="1"/>
        <i x="0"/>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84402C7-8214-431D-A0A4-F5C48769DD39}" cache="Slicer_YEAR" caption="YEAR" rowHeight="241300"/>
  <slicer name="CATEGORY" xr10:uid="{3996D0A9-E3CC-43DC-911C-795859070D6B}" cache="Slicer_CATEGORY" caption="CATEGORY" rowHeight="241300"/>
  <slicer name="REGION 2" xr10:uid="{4C81B892-7709-4F58-A965-6BE2445D9F36}"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D7D343-B7CE-47AF-A251-6D4C3BBF3165}" name="Table3" displayName="Table3" ref="A2:L14" totalsRowShown="0" headerRowDxfId="73" dataDxfId="72">
  <autoFilter ref="A2:L14" xr:uid="{5517FA86-CAAD-4D21-8BFF-50AE4E38F0B4}"/>
  <sortState ref="A3:L13">
    <sortCondition ref="A2:A14"/>
  </sortState>
  <tableColumns count="12">
    <tableColumn id="1" xr3:uid="{883372BE-E2CD-4BD0-B579-3483C8C2475A}" name="ORDER ID" dataDxfId="71"/>
    <tableColumn id="2" xr3:uid="{5A0F1DCA-FBC2-4315-94AE-6D18FEDE4DEC}" name="ORDER DATE" dataDxfId="70"/>
    <tableColumn id="3" xr3:uid="{FFDDA11A-FB58-4738-9E3F-6DD05AA6E998}" name="YEAR" dataDxfId="69"/>
    <tableColumn id="4" xr3:uid="{7C1253BF-DF12-454A-BFA8-25629262CB12}" name="CUSTOMER ID" dataDxfId="68"/>
    <tableColumn id="5" xr3:uid="{5D31E17B-F575-4382-B5B3-38C71D30E589}" name="REGION" dataDxfId="67"/>
    <tableColumn id="6" xr3:uid="{FD030060-703D-4646-A142-CB86492D2C96}" name="CUSTOMER NAME" dataDxfId="66"/>
    <tableColumn id="7" xr3:uid="{F60051C4-A770-4656-A7BC-3D9AEFDD05AC}" name="CATEGORY" dataDxfId="65"/>
    <tableColumn id="8" xr3:uid="{4D380FCB-B718-4A95-B4ED-494FEC4E8C09}" name="PRODUCT" dataDxfId="64"/>
    <tableColumn id="9" xr3:uid="{19B7FC5F-FC98-43FF-A22B-A693616D327A}" name="PRICE ($)" dataDxfId="63"/>
    <tableColumn id="10" xr3:uid="{DD33E1D6-9921-4FBA-A4EC-2AA23B6680F9}" name="QUANTITY" dataDxfId="62"/>
    <tableColumn id="11" xr3:uid="{FA6F7C04-6D5F-408D-86B6-87230FAC969D}" name="AMOUNT ($)" dataDxfId="61"/>
    <tableColumn id="12" xr3:uid="{D7E78660-2B2E-4B1F-B60C-FF4D0C3D99A6}" name="PROFIT (10%)" dataDxfId="6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1838-13CD-4A34-94D5-B981ACA874CC}">
  <dimension ref="A2:L14"/>
  <sheetViews>
    <sheetView workbookViewId="0">
      <selection activeCell="C35" sqref="C35"/>
    </sheetView>
  </sheetViews>
  <sheetFormatPr defaultRowHeight="15" x14ac:dyDescent="0.25"/>
  <cols>
    <col min="1" max="1" width="13.85546875" bestFit="1" customWidth="1"/>
    <col min="2" max="2" width="16.5703125" bestFit="1" customWidth="1"/>
    <col min="3" max="3" width="10.140625" bestFit="1" customWidth="1"/>
    <col min="4" max="4" width="18" bestFit="1" customWidth="1"/>
    <col min="5" max="5" width="10.140625" customWidth="1"/>
    <col min="6" max="6" width="21.85546875" bestFit="1" customWidth="1"/>
    <col min="7" max="7" width="15.140625" bestFit="1" customWidth="1"/>
    <col min="8" max="8" width="14.140625" bestFit="1" customWidth="1"/>
    <col min="9" max="9" width="13.42578125" bestFit="1" customWidth="1"/>
    <col min="10" max="10" width="14.85546875" bestFit="1" customWidth="1"/>
    <col min="11" max="11" width="16.85546875" bestFit="1" customWidth="1"/>
    <col min="12" max="12" width="17.28515625" bestFit="1" customWidth="1"/>
  </cols>
  <sheetData>
    <row r="2" spans="1:12" x14ac:dyDescent="0.25">
      <c r="A2" s="3" t="s">
        <v>68</v>
      </c>
      <c r="B2" s="3" t="s">
        <v>67</v>
      </c>
      <c r="C2" s="3" t="s">
        <v>66</v>
      </c>
      <c r="D2" s="3" t="s">
        <v>65</v>
      </c>
      <c r="E2" s="3" t="s">
        <v>64</v>
      </c>
      <c r="F2" s="3" t="s">
        <v>63</v>
      </c>
      <c r="G2" s="3" t="s">
        <v>62</v>
      </c>
      <c r="H2" s="3" t="s">
        <v>61</v>
      </c>
      <c r="I2" s="3" t="s">
        <v>60</v>
      </c>
      <c r="J2" s="3" t="s">
        <v>59</v>
      </c>
      <c r="K2" s="3" t="s">
        <v>58</v>
      </c>
      <c r="L2" s="3" t="s">
        <v>57</v>
      </c>
    </row>
    <row r="3" spans="1:12" ht="30" x14ac:dyDescent="0.25">
      <c r="A3" s="1" t="s">
        <v>56</v>
      </c>
      <c r="B3" s="2">
        <v>45672</v>
      </c>
      <c r="C3" s="1">
        <v>2025</v>
      </c>
      <c r="D3" s="1" t="s">
        <v>55</v>
      </c>
      <c r="E3" s="1" t="s">
        <v>9</v>
      </c>
      <c r="F3" s="1" t="s">
        <v>54</v>
      </c>
      <c r="G3" s="1" t="s">
        <v>13</v>
      </c>
      <c r="H3" s="1" t="s">
        <v>53</v>
      </c>
      <c r="I3" s="1">
        <v>50</v>
      </c>
      <c r="J3" s="1">
        <v>2</v>
      </c>
      <c r="K3" s="1">
        <v>100</v>
      </c>
      <c r="L3" s="1">
        <v>10</v>
      </c>
    </row>
    <row r="4" spans="1:12" x14ac:dyDescent="0.25">
      <c r="A4" s="1" t="s">
        <v>52</v>
      </c>
      <c r="B4" s="2">
        <v>45698</v>
      </c>
      <c r="C4" s="1">
        <v>2025</v>
      </c>
      <c r="D4" s="1" t="s">
        <v>51</v>
      </c>
      <c r="E4" s="1" t="s">
        <v>3</v>
      </c>
      <c r="F4" s="1" t="s">
        <v>50</v>
      </c>
      <c r="G4" s="1" t="s">
        <v>7</v>
      </c>
      <c r="H4" s="1" t="s">
        <v>49</v>
      </c>
      <c r="I4" s="1">
        <v>120</v>
      </c>
      <c r="J4" s="1">
        <v>1</v>
      </c>
      <c r="K4" s="1">
        <v>120</v>
      </c>
      <c r="L4" s="1">
        <v>12</v>
      </c>
    </row>
    <row r="5" spans="1:12" x14ac:dyDescent="0.25">
      <c r="A5" s="1" t="s">
        <v>48</v>
      </c>
      <c r="B5" s="2">
        <v>45721</v>
      </c>
      <c r="C5" s="1">
        <v>2025</v>
      </c>
      <c r="D5" s="1" t="s">
        <v>47</v>
      </c>
      <c r="E5" s="1" t="s">
        <v>26</v>
      </c>
      <c r="F5" s="1" t="s">
        <v>46</v>
      </c>
      <c r="G5" s="1" t="s">
        <v>1</v>
      </c>
      <c r="H5" s="1" t="s">
        <v>45</v>
      </c>
      <c r="I5" s="1">
        <v>80</v>
      </c>
      <c r="J5" s="1">
        <v>3</v>
      </c>
      <c r="K5" s="1">
        <v>240</v>
      </c>
      <c r="L5" s="1">
        <v>24</v>
      </c>
    </row>
    <row r="6" spans="1:12" x14ac:dyDescent="0.25">
      <c r="A6" s="1" t="s">
        <v>44</v>
      </c>
      <c r="B6" s="2">
        <v>45769</v>
      </c>
      <c r="C6" s="1">
        <v>2025</v>
      </c>
      <c r="D6" s="1" t="s">
        <v>43</v>
      </c>
      <c r="E6" s="1" t="s">
        <v>21</v>
      </c>
      <c r="F6" s="1" t="s">
        <v>42</v>
      </c>
      <c r="G6" s="1" t="s">
        <v>19</v>
      </c>
      <c r="H6" s="1" t="s">
        <v>41</v>
      </c>
      <c r="I6" s="1">
        <v>65</v>
      </c>
      <c r="J6" s="1">
        <v>2</v>
      </c>
      <c r="K6" s="1">
        <v>130</v>
      </c>
      <c r="L6" s="1">
        <v>13</v>
      </c>
    </row>
    <row r="7" spans="1:12" x14ac:dyDescent="0.25">
      <c r="A7" s="1" t="s">
        <v>40</v>
      </c>
      <c r="B7" s="2">
        <v>45795</v>
      </c>
      <c r="C7" s="1">
        <v>2025</v>
      </c>
      <c r="D7" s="1" t="s">
        <v>39</v>
      </c>
      <c r="E7" s="1" t="s">
        <v>15</v>
      </c>
      <c r="F7" s="1" t="s">
        <v>38</v>
      </c>
      <c r="G7" s="1" t="s">
        <v>13</v>
      </c>
      <c r="H7" s="1" t="s">
        <v>37</v>
      </c>
      <c r="I7" s="1">
        <v>200</v>
      </c>
      <c r="J7" s="1">
        <v>1</v>
      </c>
      <c r="K7" s="1">
        <v>200</v>
      </c>
      <c r="L7" s="1">
        <v>20</v>
      </c>
    </row>
    <row r="8" spans="1:12" ht="30" x14ac:dyDescent="0.25">
      <c r="A8" s="1" t="s">
        <v>36</v>
      </c>
      <c r="B8" s="2">
        <v>45811</v>
      </c>
      <c r="C8" s="1">
        <v>2025</v>
      </c>
      <c r="D8" s="1" t="s">
        <v>35</v>
      </c>
      <c r="E8" s="1" t="s">
        <v>9</v>
      </c>
      <c r="F8" s="1" t="s">
        <v>34</v>
      </c>
      <c r="G8" s="1" t="s">
        <v>13</v>
      </c>
      <c r="H8" s="1" t="s">
        <v>33</v>
      </c>
      <c r="I8" s="1">
        <v>25</v>
      </c>
      <c r="J8" s="1">
        <v>4</v>
      </c>
      <c r="K8" s="1">
        <v>100</v>
      </c>
      <c r="L8" s="1">
        <v>10</v>
      </c>
    </row>
    <row r="9" spans="1:12" x14ac:dyDescent="0.25">
      <c r="A9" s="1" t="s">
        <v>32</v>
      </c>
      <c r="B9" s="2">
        <v>45853</v>
      </c>
      <c r="C9" s="1">
        <v>2025</v>
      </c>
      <c r="D9" s="1" t="s">
        <v>31</v>
      </c>
      <c r="E9" s="1" t="s">
        <v>3</v>
      </c>
      <c r="F9" s="1" t="s">
        <v>30</v>
      </c>
      <c r="G9" s="1" t="s">
        <v>7</v>
      </c>
      <c r="H9" s="1" t="s">
        <v>29</v>
      </c>
      <c r="I9" s="1">
        <v>150</v>
      </c>
      <c r="J9" s="1">
        <v>1</v>
      </c>
      <c r="K9" s="1">
        <v>150</v>
      </c>
      <c r="L9" s="1">
        <v>15</v>
      </c>
    </row>
    <row r="10" spans="1:12" x14ac:dyDescent="0.25">
      <c r="A10" s="1" t="s">
        <v>28</v>
      </c>
      <c r="B10" s="2">
        <v>45870</v>
      </c>
      <c r="C10" s="1">
        <v>2025</v>
      </c>
      <c r="D10" s="1" t="s">
        <v>27</v>
      </c>
      <c r="E10" s="1" t="s">
        <v>26</v>
      </c>
      <c r="F10" s="1" t="s">
        <v>25</v>
      </c>
      <c r="G10" s="1" t="s">
        <v>1</v>
      </c>
      <c r="H10" s="1" t="s">
        <v>24</v>
      </c>
      <c r="I10" s="1">
        <v>90</v>
      </c>
      <c r="J10" s="1">
        <v>2</v>
      </c>
      <c r="K10" s="1">
        <v>180</v>
      </c>
      <c r="L10" s="1">
        <v>18</v>
      </c>
    </row>
    <row r="11" spans="1:12" x14ac:dyDescent="0.25">
      <c r="A11" s="1" t="s">
        <v>23</v>
      </c>
      <c r="B11" s="2">
        <v>45920</v>
      </c>
      <c r="C11" s="1">
        <v>2025</v>
      </c>
      <c r="D11" s="1" t="s">
        <v>22</v>
      </c>
      <c r="E11" s="1" t="s">
        <v>21</v>
      </c>
      <c r="F11" s="1" t="s">
        <v>20</v>
      </c>
      <c r="G11" s="1" t="s">
        <v>19</v>
      </c>
      <c r="H11" s="1" t="s">
        <v>18</v>
      </c>
      <c r="I11" s="1">
        <v>110</v>
      </c>
      <c r="J11" s="1">
        <v>1</v>
      </c>
      <c r="K11" s="1">
        <v>110</v>
      </c>
      <c r="L11" s="1">
        <v>11</v>
      </c>
    </row>
    <row r="12" spans="1:12" ht="15" customHeight="1" x14ac:dyDescent="0.25">
      <c r="A12" s="1" t="s">
        <v>17</v>
      </c>
      <c r="B12" s="2">
        <v>45935</v>
      </c>
      <c r="C12" s="1">
        <v>2025</v>
      </c>
      <c r="D12" s="1" t="s">
        <v>16</v>
      </c>
      <c r="E12" s="1" t="s">
        <v>15</v>
      </c>
      <c r="F12" s="1" t="s">
        <v>14</v>
      </c>
      <c r="G12" s="1" t="s">
        <v>13</v>
      </c>
      <c r="H12" s="1" t="s">
        <v>12</v>
      </c>
      <c r="I12" s="1">
        <v>180</v>
      </c>
      <c r="J12" s="1">
        <v>1</v>
      </c>
      <c r="K12" s="1">
        <v>180</v>
      </c>
      <c r="L12" s="1">
        <v>18</v>
      </c>
    </row>
    <row r="13" spans="1:12" x14ac:dyDescent="0.25">
      <c r="A13" s="1" t="s">
        <v>11</v>
      </c>
      <c r="B13" s="2">
        <v>45983</v>
      </c>
      <c r="C13" s="1">
        <v>2025</v>
      </c>
      <c r="D13" s="1" t="s">
        <v>10</v>
      </c>
      <c r="E13" s="1" t="s">
        <v>9</v>
      </c>
      <c r="F13" s="1" t="s">
        <v>8</v>
      </c>
      <c r="G13" s="1" t="s">
        <v>7</v>
      </c>
      <c r="H13" s="1" t="s">
        <v>6</v>
      </c>
      <c r="I13" s="1">
        <v>200</v>
      </c>
      <c r="J13" s="1">
        <v>1</v>
      </c>
      <c r="K13" s="1">
        <v>200</v>
      </c>
      <c r="L13" s="1">
        <v>20</v>
      </c>
    </row>
    <row r="14" spans="1:12" x14ac:dyDescent="0.25">
      <c r="A14" s="1" t="s">
        <v>5</v>
      </c>
      <c r="B14" s="2">
        <v>46001</v>
      </c>
      <c r="C14" s="1">
        <v>2025</v>
      </c>
      <c r="D14" s="1" t="s">
        <v>4</v>
      </c>
      <c r="E14" s="1" t="s">
        <v>3</v>
      </c>
      <c r="F14" s="1" t="s">
        <v>2</v>
      </c>
      <c r="G14" s="1" t="s">
        <v>1</v>
      </c>
      <c r="H14" s="1" t="s">
        <v>0</v>
      </c>
      <c r="I14" s="1">
        <v>40</v>
      </c>
      <c r="J14" s="1">
        <v>2</v>
      </c>
      <c r="K14" s="1">
        <v>80</v>
      </c>
      <c r="L14" s="1">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CD03E-E7DC-49F2-9564-02E81EE0CCDD}">
  <dimension ref="A1:J67"/>
  <sheetViews>
    <sheetView topLeftCell="A43" workbookViewId="0">
      <selection activeCell="P20" sqref="P20:P66"/>
    </sheetView>
  </sheetViews>
  <sheetFormatPr defaultRowHeight="15" x14ac:dyDescent="0.25"/>
  <cols>
    <col min="1" max="1" width="14.140625" bestFit="1" customWidth="1"/>
    <col min="2" max="2" width="19.5703125" bestFit="1" customWidth="1"/>
    <col min="3" max="3" width="21" bestFit="1" customWidth="1"/>
    <col min="4" max="4" width="18.7109375" bestFit="1" customWidth="1"/>
    <col min="5" max="5" width="21.7109375" bestFit="1" customWidth="1"/>
    <col min="7" max="7" width="11.5703125" customWidth="1"/>
    <col min="8" max="8" width="16.7109375" customWidth="1"/>
    <col min="9" max="9" width="10.7109375" customWidth="1"/>
    <col min="11" max="11" width="15.5703125" customWidth="1"/>
  </cols>
  <sheetData>
    <row r="1" spans="1:5" ht="26.25" x14ac:dyDescent="0.7">
      <c r="A1" s="11" t="s">
        <v>87</v>
      </c>
    </row>
    <row r="3" spans="1:5" ht="15.75" x14ac:dyDescent="0.25">
      <c r="A3" s="9" t="s">
        <v>71</v>
      </c>
      <c r="B3" s="4" t="s">
        <v>86</v>
      </c>
      <c r="C3" s="4" t="s">
        <v>72</v>
      </c>
      <c r="D3" s="4" t="s">
        <v>70</v>
      </c>
      <c r="E3" s="4" t="s">
        <v>85</v>
      </c>
    </row>
    <row r="4" spans="1:5" ht="15.75" x14ac:dyDescent="0.25">
      <c r="A4" s="8" t="s">
        <v>84</v>
      </c>
      <c r="B4" s="7">
        <v>1</v>
      </c>
      <c r="C4" s="7">
        <v>100</v>
      </c>
      <c r="D4" s="7">
        <v>2</v>
      </c>
      <c r="E4" s="7">
        <v>10</v>
      </c>
    </row>
    <row r="5" spans="1:5" ht="15.75" x14ac:dyDescent="0.25">
      <c r="A5" s="8" t="s">
        <v>83</v>
      </c>
      <c r="B5" s="7">
        <v>1</v>
      </c>
      <c r="C5" s="7">
        <v>120</v>
      </c>
      <c r="D5" s="7">
        <v>1</v>
      </c>
      <c r="E5" s="7">
        <v>12</v>
      </c>
    </row>
    <row r="6" spans="1:5" ht="15.75" x14ac:dyDescent="0.25">
      <c r="A6" s="8" t="s">
        <v>82</v>
      </c>
      <c r="B6" s="7">
        <v>1</v>
      </c>
      <c r="C6" s="7">
        <v>240</v>
      </c>
      <c r="D6" s="7">
        <v>3</v>
      </c>
      <c r="E6" s="7">
        <v>24</v>
      </c>
    </row>
    <row r="7" spans="1:5" ht="15.75" x14ac:dyDescent="0.25">
      <c r="A7" s="8" t="s">
        <v>81</v>
      </c>
      <c r="B7" s="7">
        <v>1</v>
      </c>
      <c r="C7" s="7">
        <v>130</v>
      </c>
      <c r="D7" s="7">
        <v>2</v>
      </c>
      <c r="E7" s="7">
        <v>13</v>
      </c>
    </row>
    <row r="8" spans="1:5" ht="15.75" x14ac:dyDescent="0.25">
      <c r="A8" s="8" t="s">
        <v>80</v>
      </c>
      <c r="B8" s="7">
        <v>1</v>
      </c>
      <c r="C8" s="7">
        <v>200</v>
      </c>
      <c r="D8" s="7">
        <v>1</v>
      </c>
      <c r="E8" s="7">
        <v>20</v>
      </c>
    </row>
    <row r="9" spans="1:5" ht="15.75" x14ac:dyDescent="0.25">
      <c r="A9" s="8" t="s">
        <v>79</v>
      </c>
      <c r="B9" s="7">
        <v>1</v>
      </c>
      <c r="C9" s="7">
        <v>100</v>
      </c>
      <c r="D9" s="7">
        <v>4</v>
      </c>
      <c r="E9" s="7">
        <v>10</v>
      </c>
    </row>
    <row r="10" spans="1:5" ht="15.75" x14ac:dyDescent="0.25">
      <c r="A10" s="8" t="s">
        <v>78</v>
      </c>
      <c r="B10" s="7">
        <v>1</v>
      </c>
      <c r="C10" s="7">
        <v>150</v>
      </c>
      <c r="D10" s="7">
        <v>1</v>
      </c>
      <c r="E10" s="7">
        <v>15</v>
      </c>
    </row>
    <row r="11" spans="1:5" ht="15.75" x14ac:dyDescent="0.25">
      <c r="A11" s="8" t="s">
        <v>77</v>
      </c>
      <c r="B11" s="7">
        <v>1</v>
      </c>
      <c r="C11" s="7">
        <v>180</v>
      </c>
      <c r="D11" s="7">
        <v>2</v>
      </c>
      <c r="E11" s="7">
        <v>18</v>
      </c>
    </row>
    <row r="12" spans="1:5" ht="15.75" x14ac:dyDescent="0.25">
      <c r="A12" s="8" t="s">
        <v>76</v>
      </c>
      <c r="B12" s="7">
        <v>1</v>
      </c>
      <c r="C12" s="7">
        <v>110</v>
      </c>
      <c r="D12" s="7">
        <v>1</v>
      </c>
      <c r="E12" s="7">
        <v>11</v>
      </c>
    </row>
    <row r="13" spans="1:5" ht="15.75" x14ac:dyDescent="0.25">
      <c r="A13" s="8" t="s">
        <v>75</v>
      </c>
      <c r="B13" s="7">
        <v>1</v>
      </c>
      <c r="C13" s="7">
        <v>180</v>
      </c>
      <c r="D13" s="7">
        <v>1</v>
      </c>
      <c r="E13" s="7">
        <v>18</v>
      </c>
    </row>
    <row r="14" spans="1:5" ht="15.75" x14ac:dyDescent="0.25">
      <c r="A14" s="8" t="s">
        <v>74</v>
      </c>
      <c r="B14" s="7">
        <v>1</v>
      </c>
      <c r="C14" s="7">
        <v>200</v>
      </c>
      <c r="D14" s="7">
        <v>1</v>
      </c>
      <c r="E14" s="7">
        <v>20</v>
      </c>
    </row>
    <row r="15" spans="1:5" ht="15.75" x14ac:dyDescent="0.25">
      <c r="A15" s="8" t="s">
        <v>73</v>
      </c>
      <c r="B15" s="7">
        <v>1</v>
      </c>
      <c r="C15" s="7">
        <v>80</v>
      </c>
      <c r="D15" s="7">
        <v>2</v>
      </c>
      <c r="E15" s="7">
        <v>8</v>
      </c>
    </row>
    <row r="16" spans="1:5" ht="15.75" x14ac:dyDescent="0.25">
      <c r="A16" s="8" t="s">
        <v>69</v>
      </c>
      <c r="B16" s="7">
        <v>12</v>
      </c>
      <c r="C16" s="7">
        <v>1790</v>
      </c>
      <c r="D16" s="7">
        <v>21</v>
      </c>
      <c r="E16" s="7">
        <v>179</v>
      </c>
    </row>
    <row r="17" spans="1:10" ht="15.75" x14ac:dyDescent="0.25">
      <c r="A17" s="4"/>
      <c r="B17" s="4"/>
      <c r="C17" s="4"/>
      <c r="D17" s="4"/>
      <c r="E17" s="4"/>
    </row>
    <row r="18" spans="1:10" ht="36" x14ac:dyDescent="0.55000000000000004">
      <c r="A18" s="4"/>
      <c r="B18" s="4">
        <f>B16</f>
        <v>12</v>
      </c>
      <c r="C18" s="4">
        <f>C16</f>
        <v>1790</v>
      </c>
      <c r="D18" s="4">
        <f>D16</f>
        <v>21</v>
      </c>
      <c r="E18" s="4">
        <f>E16</f>
        <v>179</v>
      </c>
      <c r="G18" s="10"/>
      <c r="H18" s="10"/>
      <c r="I18" s="10"/>
      <c r="J18" s="10"/>
    </row>
    <row r="19" spans="1:10" ht="15.75" x14ac:dyDescent="0.25">
      <c r="A19" s="4"/>
      <c r="B19" s="4"/>
      <c r="C19" s="4"/>
      <c r="D19" s="4"/>
      <c r="E19" s="4"/>
    </row>
    <row r="20" spans="1:10" ht="15.75" x14ac:dyDescent="0.25">
      <c r="A20" s="4"/>
    </row>
    <row r="21" spans="1:10" ht="15.75" x14ac:dyDescent="0.25">
      <c r="A21" s="4"/>
      <c r="B21" s="4"/>
      <c r="C21" s="4"/>
      <c r="D21" s="4"/>
      <c r="E21" s="4"/>
    </row>
    <row r="22" spans="1:10" ht="15.75" x14ac:dyDescent="0.25">
      <c r="A22" s="4"/>
      <c r="B22" s="4"/>
      <c r="C22" s="4"/>
      <c r="D22" s="4"/>
      <c r="E22" s="4"/>
    </row>
    <row r="23" spans="1:10" ht="15.75" x14ac:dyDescent="0.25">
      <c r="A23" s="4"/>
      <c r="B23" s="4"/>
      <c r="C23" s="4"/>
      <c r="D23" s="4"/>
      <c r="E23" s="4"/>
    </row>
    <row r="24" spans="1:10" ht="15.75" x14ac:dyDescent="0.25">
      <c r="A24" s="4"/>
      <c r="B24" s="4"/>
      <c r="C24" s="4"/>
      <c r="D24" s="4"/>
      <c r="E24" s="4"/>
    </row>
    <row r="25" spans="1:10" ht="15.75" x14ac:dyDescent="0.25">
      <c r="A25" s="9" t="s">
        <v>71</v>
      </c>
      <c r="B25" s="4" t="s">
        <v>72</v>
      </c>
      <c r="C25" s="4"/>
      <c r="D25" s="4"/>
      <c r="E25" s="4"/>
    </row>
    <row r="26" spans="1:10" ht="15.75" x14ac:dyDescent="0.25">
      <c r="A26" s="8" t="s">
        <v>7</v>
      </c>
      <c r="B26" s="7">
        <v>470</v>
      </c>
      <c r="C26" s="4"/>
      <c r="D26" s="8" t="s">
        <v>19</v>
      </c>
      <c r="E26" s="7">
        <v>240</v>
      </c>
    </row>
    <row r="27" spans="1:10" ht="15.75" x14ac:dyDescent="0.25">
      <c r="A27" s="8" t="s">
        <v>69</v>
      </c>
      <c r="B27" s="7">
        <v>470</v>
      </c>
      <c r="C27" s="4"/>
      <c r="D27" s="8" t="s">
        <v>7</v>
      </c>
      <c r="E27" s="7">
        <v>470</v>
      </c>
    </row>
    <row r="28" spans="1:10" ht="15.75" x14ac:dyDescent="0.25">
      <c r="C28" s="4"/>
      <c r="D28" s="8" t="s">
        <v>1</v>
      </c>
      <c r="E28" s="7">
        <v>500</v>
      </c>
    </row>
    <row r="29" spans="1:10" ht="15.75" x14ac:dyDescent="0.25">
      <c r="C29" s="4"/>
      <c r="D29" s="8" t="s">
        <v>13</v>
      </c>
      <c r="E29" s="7">
        <v>580</v>
      </c>
    </row>
    <row r="30" spans="1:10" ht="15.75" x14ac:dyDescent="0.25">
      <c r="C30" s="4"/>
      <c r="D30" s="6" t="s">
        <v>69</v>
      </c>
      <c r="E30" s="5">
        <v>1790</v>
      </c>
    </row>
    <row r="31" spans="1:10" ht="15.75" x14ac:dyDescent="0.25">
      <c r="A31" s="4"/>
      <c r="B31" s="4"/>
      <c r="C31" s="4"/>
      <c r="D31" s="4"/>
      <c r="E31" s="4"/>
    </row>
    <row r="32" spans="1:10" ht="15.75" x14ac:dyDescent="0.25">
      <c r="A32" s="4"/>
      <c r="B32" s="4"/>
      <c r="C32" s="4"/>
      <c r="D32" s="4"/>
      <c r="E32" s="4"/>
    </row>
    <row r="33" spans="1:5" ht="15.75" x14ac:dyDescent="0.25">
      <c r="A33" s="4"/>
      <c r="B33" s="4"/>
      <c r="C33" s="4"/>
      <c r="D33" s="4"/>
      <c r="E33" s="4"/>
    </row>
    <row r="34" spans="1:5" ht="15.75" x14ac:dyDescent="0.25">
      <c r="A34" s="9" t="s">
        <v>71</v>
      </c>
      <c r="B34" s="4" t="s">
        <v>72</v>
      </c>
      <c r="C34" s="4"/>
      <c r="D34" s="4"/>
      <c r="E34" s="4"/>
    </row>
    <row r="35" spans="1:5" ht="15.75" x14ac:dyDescent="0.25">
      <c r="A35" s="8" t="s">
        <v>18</v>
      </c>
      <c r="B35" s="7">
        <v>110</v>
      </c>
      <c r="C35" s="4"/>
      <c r="D35" s="4"/>
      <c r="E35" s="4"/>
    </row>
    <row r="36" spans="1:5" ht="15.75" x14ac:dyDescent="0.25">
      <c r="A36" s="8" t="s">
        <v>41</v>
      </c>
      <c r="B36" s="7">
        <v>130</v>
      </c>
      <c r="C36" s="4"/>
      <c r="D36" s="4"/>
      <c r="E36" s="4"/>
    </row>
    <row r="37" spans="1:5" ht="15.75" x14ac:dyDescent="0.25">
      <c r="A37" s="8" t="s">
        <v>53</v>
      </c>
      <c r="B37" s="7">
        <v>100</v>
      </c>
      <c r="C37" s="4"/>
      <c r="D37" s="4"/>
      <c r="E37" s="4"/>
    </row>
    <row r="38" spans="1:5" ht="15.75" x14ac:dyDescent="0.25">
      <c r="A38" s="8" t="s">
        <v>6</v>
      </c>
      <c r="B38" s="7">
        <v>200</v>
      </c>
      <c r="C38" s="4"/>
      <c r="D38" s="4"/>
      <c r="E38" s="4"/>
    </row>
    <row r="39" spans="1:5" ht="15.75" x14ac:dyDescent="0.25">
      <c r="A39" s="8" t="s">
        <v>29</v>
      </c>
      <c r="B39" s="7">
        <v>150</v>
      </c>
      <c r="C39" s="4"/>
      <c r="D39" s="4"/>
      <c r="E39" s="4"/>
    </row>
    <row r="40" spans="1:5" ht="15.75" x14ac:dyDescent="0.25">
      <c r="A40" s="8" t="s">
        <v>0</v>
      </c>
      <c r="B40" s="7">
        <v>80</v>
      </c>
      <c r="C40" s="4"/>
      <c r="D40" s="4"/>
      <c r="E40" s="4"/>
    </row>
    <row r="41" spans="1:5" ht="15.75" x14ac:dyDescent="0.25">
      <c r="A41" s="8" t="s">
        <v>12</v>
      </c>
      <c r="B41" s="7">
        <v>180</v>
      </c>
      <c r="C41" s="4"/>
      <c r="D41" s="4"/>
      <c r="E41" s="4"/>
    </row>
    <row r="42" spans="1:5" ht="15.75" x14ac:dyDescent="0.25">
      <c r="A42" s="8" t="s">
        <v>49</v>
      </c>
      <c r="B42" s="7">
        <v>120</v>
      </c>
      <c r="C42" s="4"/>
      <c r="D42" s="4"/>
      <c r="E42" s="4"/>
    </row>
    <row r="43" spans="1:5" ht="15.75" x14ac:dyDescent="0.25">
      <c r="A43" s="8" t="s">
        <v>24</v>
      </c>
      <c r="B43" s="7">
        <v>180</v>
      </c>
      <c r="C43" s="4"/>
      <c r="D43" s="4"/>
      <c r="E43" s="4"/>
    </row>
    <row r="44" spans="1:5" ht="15.75" x14ac:dyDescent="0.25">
      <c r="A44" s="8" t="s">
        <v>37</v>
      </c>
      <c r="B44" s="7">
        <v>200</v>
      </c>
      <c r="C44" s="4"/>
      <c r="D44" s="4"/>
      <c r="E44" s="4"/>
    </row>
    <row r="45" spans="1:5" ht="15.75" x14ac:dyDescent="0.25">
      <c r="A45" s="8" t="s">
        <v>45</v>
      </c>
      <c r="B45" s="7">
        <v>240</v>
      </c>
      <c r="C45" s="4"/>
      <c r="D45" s="4"/>
      <c r="E45" s="4"/>
    </row>
    <row r="46" spans="1:5" ht="15.75" x14ac:dyDescent="0.25">
      <c r="A46" s="8" t="s">
        <v>33</v>
      </c>
      <c r="B46" s="7">
        <v>100</v>
      </c>
      <c r="C46" s="4"/>
      <c r="D46" s="4"/>
      <c r="E46" s="4"/>
    </row>
    <row r="47" spans="1:5" ht="15.75" x14ac:dyDescent="0.25">
      <c r="A47" s="8" t="s">
        <v>69</v>
      </c>
      <c r="B47" s="7">
        <v>1790</v>
      </c>
      <c r="C47" s="4"/>
      <c r="D47" s="4"/>
      <c r="E47" s="4"/>
    </row>
    <row r="48" spans="1:5" ht="15.75" x14ac:dyDescent="0.25">
      <c r="A48" s="4"/>
      <c r="B48" s="4"/>
      <c r="C48" s="4"/>
      <c r="D48" s="4"/>
      <c r="E48" s="4"/>
    </row>
    <row r="49" spans="1:5" ht="15.75" x14ac:dyDescent="0.25">
      <c r="A49" s="4"/>
      <c r="B49" s="4"/>
      <c r="C49" s="4"/>
      <c r="D49" s="4"/>
      <c r="E49" s="4"/>
    </row>
    <row r="50" spans="1:5" ht="15.75" x14ac:dyDescent="0.25">
      <c r="A50" s="4"/>
      <c r="B50" s="4"/>
      <c r="C50" s="4"/>
      <c r="D50" s="4"/>
      <c r="E50" s="4"/>
    </row>
    <row r="51" spans="1:5" ht="15.75" x14ac:dyDescent="0.25">
      <c r="A51" s="4"/>
      <c r="B51" s="4"/>
      <c r="C51" s="4"/>
      <c r="D51" s="4"/>
      <c r="E51" s="4"/>
    </row>
    <row r="52" spans="1:5" ht="15.75" x14ac:dyDescent="0.25">
      <c r="A52" s="9" t="s">
        <v>71</v>
      </c>
      <c r="B52" s="4" t="s">
        <v>72</v>
      </c>
      <c r="C52" s="4"/>
      <c r="D52" s="4"/>
      <c r="E52" s="4"/>
    </row>
    <row r="53" spans="1:5" ht="15.75" x14ac:dyDescent="0.25">
      <c r="A53" s="8">
        <v>1</v>
      </c>
      <c r="B53" s="7">
        <v>960</v>
      </c>
      <c r="C53" s="4"/>
      <c r="D53" s="4"/>
      <c r="E53" s="4"/>
    </row>
    <row r="54" spans="1:5" ht="15.75" x14ac:dyDescent="0.25">
      <c r="A54" s="8">
        <v>2</v>
      </c>
      <c r="B54" s="7">
        <v>490</v>
      </c>
      <c r="C54" s="4"/>
      <c r="D54" s="4"/>
      <c r="E54" s="4"/>
    </row>
    <row r="55" spans="1:5" ht="15.75" x14ac:dyDescent="0.25">
      <c r="A55" s="8">
        <v>3</v>
      </c>
      <c r="B55" s="7">
        <v>240</v>
      </c>
      <c r="C55" s="4"/>
      <c r="D55" s="4"/>
      <c r="E55" s="4"/>
    </row>
    <row r="56" spans="1:5" ht="15.75" x14ac:dyDescent="0.25">
      <c r="A56" s="8">
        <v>4</v>
      </c>
      <c r="B56" s="7">
        <v>100</v>
      </c>
      <c r="C56" s="4"/>
      <c r="D56" s="4"/>
      <c r="E56" s="4"/>
    </row>
    <row r="57" spans="1:5" ht="15.75" x14ac:dyDescent="0.25">
      <c r="A57" s="8" t="s">
        <v>69</v>
      </c>
      <c r="B57" s="7">
        <v>1790</v>
      </c>
      <c r="C57" s="4"/>
      <c r="D57" s="4"/>
      <c r="E57" s="4"/>
    </row>
    <row r="58" spans="1:5" ht="15.75" x14ac:dyDescent="0.25">
      <c r="A58" s="4"/>
      <c r="B58" s="4"/>
      <c r="C58" s="4"/>
      <c r="D58" s="4"/>
      <c r="E58" s="4"/>
    </row>
    <row r="59" spans="1:5" ht="15.75" x14ac:dyDescent="0.25">
      <c r="A59" s="4"/>
      <c r="B59" s="4"/>
      <c r="C59" s="4"/>
      <c r="D59" s="4"/>
      <c r="E59" s="4"/>
    </row>
    <row r="60" spans="1:5" ht="15.75" x14ac:dyDescent="0.25">
      <c r="A60" s="4"/>
      <c r="B60" s="4"/>
      <c r="C60" s="4"/>
      <c r="D60" s="4"/>
      <c r="E60" s="4"/>
    </row>
    <row r="61" spans="1:5" ht="15.75" x14ac:dyDescent="0.25">
      <c r="A61" s="9" t="s">
        <v>71</v>
      </c>
      <c r="B61" s="4" t="s">
        <v>70</v>
      </c>
      <c r="C61" s="4"/>
      <c r="D61" s="4"/>
      <c r="E61" s="4"/>
    </row>
    <row r="62" spans="1:5" ht="15.75" x14ac:dyDescent="0.25">
      <c r="A62" s="8" t="s">
        <v>13</v>
      </c>
      <c r="B62" s="7">
        <v>8</v>
      </c>
      <c r="C62" s="4"/>
      <c r="D62" s="8" t="s">
        <v>13</v>
      </c>
      <c r="E62" s="7">
        <v>8</v>
      </c>
    </row>
    <row r="63" spans="1:5" ht="15.75" x14ac:dyDescent="0.25">
      <c r="A63" s="8" t="s">
        <v>1</v>
      </c>
      <c r="B63" s="7">
        <v>7</v>
      </c>
      <c r="C63" s="4"/>
      <c r="D63" s="8" t="s">
        <v>1</v>
      </c>
      <c r="E63" s="7">
        <v>7</v>
      </c>
    </row>
    <row r="64" spans="1:5" ht="15.75" x14ac:dyDescent="0.25">
      <c r="A64" s="8" t="s">
        <v>7</v>
      </c>
      <c r="B64" s="7">
        <v>3</v>
      </c>
      <c r="C64" s="4"/>
      <c r="D64" s="8" t="s">
        <v>7</v>
      </c>
      <c r="E64" s="7">
        <v>3</v>
      </c>
    </row>
    <row r="65" spans="1:5" ht="15.75" x14ac:dyDescent="0.25">
      <c r="A65" s="8" t="s">
        <v>19</v>
      </c>
      <c r="B65" s="7">
        <v>3</v>
      </c>
      <c r="C65" s="4"/>
      <c r="D65" s="8" t="s">
        <v>19</v>
      </c>
      <c r="E65" s="7">
        <v>3</v>
      </c>
    </row>
    <row r="66" spans="1:5" ht="15.75" x14ac:dyDescent="0.25">
      <c r="A66" s="8" t="s">
        <v>69</v>
      </c>
      <c r="B66" s="7">
        <v>21</v>
      </c>
      <c r="C66" s="4"/>
      <c r="D66" s="6" t="s">
        <v>69</v>
      </c>
      <c r="E66" s="5">
        <v>21</v>
      </c>
    </row>
    <row r="67" spans="1:5" ht="15.75" x14ac:dyDescent="0.25">
      <c r="A67" s="4"/>
      <c r="B67" s="4"/>
      <c r="C67" s="4"/>
      <c r="D67" s="4"/>
      <c r="E67" s="4"/>
    </row>
  </sheetData>
  <pageMargins left="0.7" right="0.7" top="0.75" bottom="0.75" header="0.3" footer="0.3"/>
  <pageSetup orientation="portrait" r:id="rId6"/>
  <extLst>
    <ext xmlns:x14="http://schemas.microsoft.com/office/spreadsheetml/2009/9/main" uri="{05C60535-1F16-4fd2-B633-F4F36F0B64E0}">
      <x14:sparklineGroups xmlns:xm="http://schemas.microsoft.com/office/excel/2006/main">
        <x14:sparklineGroup type="column" displayEmptyCellsAs="gap" xr2:uid="{46576B1A-0661-4B6E-8DD8-D6111AF59105}">
          <x14:colorSeries rgb="FF00B050"/>
          <x14:colorNegative rgb="FFFF0000"/>
          <x14:colorAxis rgb="FF000000"/>
          <x14:colorMarkers rgb="FF0070C0"/>
          <x14:colorFirst rgb="FFFFC000"/>
          <x14:colorLast rgb="FFFFC000"/>
          <x14:colorHigh rgb="FF00B050"/>
          <x14:colorLow rgb="FFFF0000"/>
          <x14:sparklines>
            <x14:sparkline>
              <xm:f>'calculation 3'!B18:E18</xm:f>
              <xm:sqref>G18</xm:sqref>
            </x14:sparkline>
            <x14:sparkline>
              <xm:f>'calculation 3'!C18:F18</xm:f>
              <xm:sqref>H18</xm:sqref>
            </x14:sparkline>
            <x14:sparkline>
              <xm:f>'calculation 3'!D18:G18</xm:f>
              <xm:sqref>I18</xm:sqref>
            </x14:sparkline>
            <x14:sparkline>
              <xm:f>'calculation 3'!E18:H18</xm:f>
              <xm:sqref>J18</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B4DB6-3FBC-4DFF-BE57-FF1C546AC196}">
  <dimension ref="A1:Z38"/>
  <sheetViews>
    <sheetView tabSelected="1" workbookViewId="0">
      <selection activeCell="O19" sqref="O19"/>
    </sheetView>
  </sheetViews>
  <sheetFormatPr defaultRowHeight="15" x14ac:dyDescent="0.25"/>
  <cols>
    <col min="2" max="2" width="19.42578125" customWidth="1"/>
    <col min="4" max="4" width="18.42578125" customWidth="1"/>
    <col min="6" max="6" width="18.5703125" customWidth="1"/>
    <col min="7" max="7" width="9.42578125" customWidth="1"/>
    <col min="8" max="8" width="18.28515625" customWidth="1"/>
  </cols>
  <sheetData>
    <row r="1" spans="1:26" ht="23.25" customHeight="1" x14ac:dyDescent="0.3">
      <c r="A1" s="12"/>
      <c r="B1" s="20" t="s">
        <v>91</v>
      </c>
      <c r="C1" s="19"/>
      <c r="D1" s="20" t="s">
        <v>90</v>
      </c>
      <c r="E1" s="19"/>
      <c r="F1" s="20" t="s">
        <v>89</v>
      </c>
      <c r="G1" s="19"/>
      <c r="H1" s="18" t="s">
        <v>88</v>
      </c>
      <c r="I1" s="12"/>
      <c r="J1" s="12"/>
      <c r="K1" s="14"/>
      <c r="L1" s="14"/>
      <c r="M1" s="14"/>
      <c r="N1" s="14"/>
      <c r="O1" s="14"/>
      <c r="P1" s="12"/>
      <c r="Q1" s="12"/>
      <c r="R1" s="12"/>
      <c r="S1" s="12"/>
      <c r="T1" s="12"/>
      <c r="U1" s="12"/>
      <c r="V1" s="12"/>
      <c r="W1" s="12"/>
      <c r="X1" s="12"/>
      <c r="Y1" s="12"/>
      <c r="Z1" s="12"/>
    </row>
    <row r="2" spans="1:26" ht="32.25" customHeight="1" x14ac:dyDescent="0.25">
      <c r="A2" s="12"/>
      <c r="B2" s="17">
        <f>'calculation 3'!C18</f>
        <v>1790</v>
      </c>
      <c r="C2" s="12"/>
      <c r="D2" s="16">
        <f>'calculation 3'!B18</f>
        <v>12</v>
      </c>
      <c r="E2" s="12"/>
      <c r="F2" s="16">
        <f>'calculation 3'!D16</f>
        <v>21</v>
      </c>
      <c r="G2" s="12"/>
      <c r="H2" s="16">
        <f>'calculation 3'!E16</f>
        <v>179</v>
      </c>
      <c r="I2" s="12"/>
      <c r="J2" s="12"/>
      <c r="K2" s="14"/>
      <c r="L2" s="14"/>
      <c r="M2" s="14"/>
      <c r="N2" s="14"/>
      <c r="O2" s="14"/>
      <c r="P2" s="12"/>
      <c r="Q2" s="12"/>
      <c r="R2" s="12"/>
      <c r="S2" s="12"/>
      <c r="T2" s="12"/>
      <c r="U2" s="12"/>
      <c r="V2" s="12"/>
      <c r="W2" s="12"/>
      <c r="X2" s="12"/>
      <c r="Y2" s="12"/>
      <c r="Z2" s="12"/>
    </row>
    <row r="3" spans="1:26" ht="39" customHeight="1" x14ac:dyDescent="0.25">
      <c r="A3" s="12"/>
      <c r="B3" s="15"/>
      <c r="C3" s="12"/>
      <c r="D3" s="12"/>
      <c r="E3" s="12"/>
      <c r="F3" s="12"/>
      <c r="G3" s="12"/>
      <c r="H3" s="12"/>
      <c r="I3" s="12"/>
      <c r="J3" s="12"/>
      <c r="K3" s="14"/>
      <c r="L3" s="14"/>
      <c r="M3" s="14"/>
      <c r="N3" s="14"/>
      <c r="O3" s="14"/>
      <c r="P3" s="12"/>
      <c r="Q3" s="12"/>
      <c r="R3" s="12"/>
      <c r="S3" s="12"/>
      <c r="T3" s="12"/>
      <c r="U3" s="12"/>
      <c r="V3" s="12"/>
      <c r="W3" s="12"/>
      <c r="X3" s="12"/>
      <c r="Y3" s="12"/>
      <c r="Z3" s="12"/>
    </row>
    <row r="4" spans="1:26" x14ac:dyDescent="0.25">
      <c r="A4" s="12"/>
      <c r="B4" s="12"/>
      <c r="C4" s="12"/>
      <c r="D4" s="12"/>
      <c r="E4" s="12"/>
      <c r="F4" s="12"/>
      <c r="G4" s="12"/>
      <c r="H4" s="12"/>
      <c r="I4" s="12"/>
      <c r="J4" s="12"/>
      <c r="K4" s="14"/>
      <c r="L4" s="14"/>
      <c r="M4" s="14"/>
      <c r="N4" s="14"/>
      <c r="O4" s="14"/>
      <c r="P4" s="12"/>
      <c r="Q4" s="12"/>
      <c r="R4" s="12"/>
      <c r="S4" s="12"/>
      <c r="T4" s="12"/>
      <c r="U4" s="12"/>
      <c r="V4" s="12"/>
      <c r="W4" s="12"/>
      <c r="X4" s="12"/>
      <c r="Y4" s="12"/>
      <c r="Z4" s="12"/>
    </row>
    <row r="5" spans="1:26" x14ac:dyDescent="0.2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25">
      <c r="A6" s="12"/>
      <c r="B6" s="13"/>
      <c r="C6" s="13"/>
      <c r="D6" s="13"/>
      <c r="E6" s="13"/>
      <c r="F6" s="13"/>
      <c r="G6" s="13"/>
      <c r="H6" s="13"/>
      <c r="I6" s="12"/>
      <c r="J6" s="12"/>
      <c r="K6" s="12"/>
      <c r="L6" s="12"/>
      <c r="M6" s="12"/>
      <c r="N6" s="12"/>
      <c r="O6" s="12"/>
      <c r="P6" s="12"/>
      <c r="Q6" s="12"/>
      <c r="R6" s="12"/>
      <c r="S6" s="12"/>
      <c r="T6" s="12"/>
      <c r="U6" s="12"/>
      <c r="V6" s="12"/>
      <c r="W6" s="12"/>
      <c r="X6" s="12"/>
      <c r="Y6" s="12"/>
      <c r="Z6" s="12"/>
    </row>
    <row r="7" spans="1:26" x14ac:dyDescent="0.25">
      <c r="A7" s="12"/>
      <c r="B7" s="13"/>
      <c r="C7" s="13"/>
      <c r="D7" s="13"/>
      <c r="E7" s="13"/>
      <c r="F7" s="13"/>
      <c r="G7" s="13"/>
      <c r="H7" s="13"/>
      <c r="I7" s="12"/>
      <c r="J7" s="12"/>
      <c r="K7" s="12"/>
      <c r="L7" s="12"/>
      <c r="M7" s="12"/>
      <c r="N7" s="12"/>
      <c r="O7" s="12"/>
      <c r="P7" s="12"/>
      <c r="Q7" s="12"/>
      <c r="R7" s="12"/>
      <c r="S7" s="12"/>
      <c r="T7" s="12"/>
      <c r="U7" s="12"/>
      <c r="V7" s="12"/>
      <c r="W7" s="12"/>
      <c r="X7" s="12"/>
      <c r="Y7" s="12"/>
      <c r="Z7" s="12"/>
    </row>
    <row r="8" spans="1:26" x14ac:dyDescent="0.25">
      <c r="A8" s="12"/>
      <c r="B8" s="13"/>
      <c r="C8" s="13"/>
      <c r="D8" s="13"/>
      <c r="E8" s="13"/>
      <c r="F8" s="13"/>
      <c r="G8" s="13"/>
      <c r="H8" s="13"/>
      <c r="I8" s="12"/>
      <c r="J8" s="12"/>
      <c r="K8" s="12"/>
      <c r="L8" s="12"/>
      <c r="M8" s="12"/>
      <c r="N8" s="12"/>
      <c r="O8" s="12"/>
      <c r="P8" s="12"/>
      <c r="Q8" s="12"/>
      <c r="R8" s="12"/>
      <c r="S8" s="12"/>
      <c r="T8" s="12"/>
      <c r="U8" s="12"/>
      <c r="V8" s="12"/>
      <c r="W8" s="12"/>
      <c r="X8" s="12"/>
      <c r="Y8" s="12"/>
      <c r="Z8" s="12"/>
    </row>
    <row r="9" spans="1:26" x14ac:dyDescent="0.25">
      <c r="A9" s="12"/>
      <c r="B9" s="13"/>
      <c r="C9" s="13"/>
      <c r="D9" s="13"/>
      <c r="E9" s="13"/>
      <c r="F9" s="13"/>
      <c r="G9" s="13"/>
      <c r="H9" s="13"/>
      <c r="I9" s="12"/>
      <c r="J9" s="12"/>
      <c r="K9" s="12"/>
      <c r="L9" s="12"/>
      <c r="M9" s="12"/>
      <c r="N9" s="12"/>
      <c r="O9" s="12"/>
      <c r="P9" s="12"/>
      <c r="Q9" s="12"/>
      <c r="R9" s="12"/>
      <c r="S9" s="12"/>
      <c r="T9" s="12"/>
      <c r="U9" s="12"/>
      <c r="V9" s="12"/>
      <c r="W9" s="12"/>
      <c r="X9" s="12"/>
      <c r="Y9" s="12"/>
      <c r="Z9" s="12"/>
    </row>
    <row r="10" spans="1:26" x14ac:dyDescent="0.25">
      <c r="A10" s="12"/>
      <c r="B10" s="13"/>
      <c r="C10" s="13"/>
      <c r="D10" s="13"/>
      <c r="E10" s="13"/>
      <c r="F10" s="13"/>
      <c r="G10" s="13"/>
      <c r="H10" s="13"/>
      <c r="I10" s="12"/>
      <c r="J10" s="12"/>
      <c r="K10" s="12"/>
      <c r="L10" s="12"/>
      <c r="M10" s="12"/>
      <c r="N10" s="12"/>
      <c r="O10" s="12"/>
      <c r="P10" s="12"/>
      <c r="Q10" s="12"/>
      <c r="R10" s="12"/>
      <c r="S10" s="12"/>
      <c r="T10" s="12"/>
      <c r="U10" s="12"/>
      <c r="V10" s="12"/>
      <c r="W10" s="12"/>
      <c r="X10" s="12"/>
      <c r="Y10" s="12"/>
      <c r="Z10" s="12"/>
    </row>
    <row r="11" spans="1:26" ht="15.75" customHeight="1" x14ac:dyDescent="0.25">
      <c r="A11" s="12"/>
      <c r="B11" s="13"/>
      <c r="C11" s="13"/>
      <c r="D11" s="13"/>
      <c r="E11" s="13"/>
      <c r="F11" s="13"/>
      <c r="G11" s="13"/>
      <c r="H11" s="13"/>
      <c r="I11" s="12"/>
      <c r="J11" s="12"/>
      <c r="K11" s="12"/>
      <c r="L11" s="12"/>
      <c r="M11" s="12"/>
      <c r="N11" s="12"/>
      <c r="O11" s="12"/>
      <c r="P11" s="12"/>
      <c r="Q11" s="12"/>
      <c r="R11" s="12"/>
      <c r="S11" s="12"/>
      <c r="T11" s="12"/>
      <c r="U11" s="12"/>
      <c r="V11" s="12"/>
      <c r="W11" s="12"/>
      <c r="X11" s="12"/>
      <c r="Y11" s="12"/>
      <c r="Z11" s="12"/>
    </row>
    <row r="12" spans="1:26" ht="15.75" customHeight="1" x14ac:dyDescent="0.25">
      <c r="A12" s="12"/>
      <c r="B12" s="13"/>
      <c r="C12" s="13"/>
      <c r="D12" s="13"/>
      <c r="E12" s="13"/>
      <c r="F12" s="13"/>
      <c r="G12" s="13"/>
      <c r="H12" s="13"/>
      <c r="I12" s="12"/>
      <c r="J12" s="12"/>
      <c r="K12" s="12"/>
      <c r="L12" s="12"/>
      <c r="M12" s="12"/>
      <c r="N12" s="12"/>
      <c r="O12" s="12"/>
      <c r="P12" s="12"/>
      <c r="Q12" s="12"/>
      <c r="R12" s="12"/>
      <c r="S12" s="12"/>
      <c r="T12" s="12"/>
      <c r="U12" s="12"/>
      <c r="V12" s="12"/>
      <c r="W12" s="12"/>
      <c r="X12" s="12"/>
      <c r="Y12" s="12"/>
      <c r="Z12" s="12"/>
    </row>
    <row r="13" spans="1:26" ht="15.75" customHeight="1" x14ac:dyDescent="0.25">
      <c r="A13" s="12"/>
      <c r="B13" s="13"/>
      <c r="C13" s="13"/>
      <c r="D13" s="13"/>
      <c r="E13" s="13"/>
      <c r="F13" s="13"/>
      <c r="G13" s="13"/>
      <c r="H13" s="13"/>
      <c r="I13" s="12"/>
      <c r="J13" s="12"/>
      <c r="K13" s="12"/>
      <c r="L13" s="12"/>
      <c r="M13" s="12"/>
      <c r="N13" s="12"/>
      <c r="O13" s="12"/>
      <c r="P13" s="12"/>
      <c r="Q13" s="12"/>
      <c r="R13" s="12"/>
      <c r="S13" s="12"/>
      <c r="T13" s="12"/>
      <c r="U13" s="12"/>
      <c r="V13" s="12"/>
      <c r="W13" s="12"/>
      <c r="X13" s="12"/>
      <c r="Y13" s="12"/>
      <c r="Z13" s="12"/>
    </row>
    <row r="14" spans="1:26" ht="15.75" customHeight="1" x14ac:dyDescent="0.25">
      <c r="A14" s="12"/>
      <c r="B14" s="13"/>
      <c r="C14" s="13"/>
      <c r="D14" s="13"/>
      <c r="E14" s="13"/>
      <c r="F14" s="13"/>
      <c r="G14" s="13"/>
      <c r="H14" s="13"/>
      <c r="I14" s="12"/>
      <c r="J14" s="12"/>
      <c r="K14" s="12"/>
      <c r="L14" s="12"/>
      <c r="M14" s="12"/>
      <c r="N14" s="12"/>
      <c r="O14" s="12"/>
      <c r="P14" s="12"/>
      <c r="Q14" s="12"/>
      <c r="R14" s="12"/>
      <c r="S14" s="12"/>
      <c r="T14" s="12"/>
      <c r="U14" s="12"/>
      <c r="V14" s="12"/>
      <c r="W14" s="12"/>
      <c r="X14" s="12"/>
      <c r="Y14" s="12"/>
      <c r="Z14" s="12"/>
    </row>
    <row r="15" spans="1:26" ht="15.75" customHeight="1" x14ac:dyDescent="0.25">
      <c r="A15" s="12"/>
      <c r="B15" s="13"/>
      <c r="C15" s="13"/>
      <c r="D15" s="13"/>
      <c r="E15" s="13"/>
      <c r="F15" s="13"/>
      <c r="G15" s="13"/>
      <c r="H15" s="13"/>
      <c r="I15" s="12"/>
      <c r="J15" s="12"/>
      <c r="K15" s="12"/>
      <c r="L15" s="12"/>
      <c r="M15" s="12"/>
      <c r="N15" s="12"/>
      <c r="O15" s="12"/>
      <c r="P15" s="12"/>
      <c r="Q15" s="12"/>
      <c r="R15" s="12"/>
      <c r="S15" s="12"/>
      <c r="T15" s="12"/>
      <c r="U15" s="12"/>
      <c r="V15" s="12"/>
      <c r="W15" s="12"/>
      <c r="X15" s="12"/>
      <c r="Y15" s="12"/>
      <c r="Z15" s="12"/>
    </row>
    <row r="16" spans="1:26" x14ac:dyDescent="0.25">
      <c r="A16" s="12"/>
      <c r="B16" s="13"/>
      <c r="C16" s="13"/>
      <c r="D16" s="13"/>
      <c r="E16" s="13"/>
      <c r="F16" s="13"/>
      <c r="G16" s="13"/>
      <c r="H16" s="13"/>
      <c r="I16" s="12"/>
      <c r="J16" s="12"/>
      <c r="K16" s="12"/>
      <c r="L16" s="12"/>
      <c r="M16" s="12"/>
      <c r="N16" s="12"/>
      <c r="O16" s="12"/>
      <c r="P16" s="12"/>
      <c r="Q16" s="12"/>
      <c r="R16" s="12"/>
      <c r="S16" s="12"/>
      <c r="T16" s="12"/>
      <c r="U16" s="12"/>
      <c r="V16" s="12"/>
      <c r="W16" s="12"/>
      <c r="X16" s="12"/>
      <c r="Y16" s="12"/>
      <c r="Z16" s="12"/>
    </row>
    <row r="17" spans="1:26" x14ac:dyDescent="0.25">
      <c r="A17" s="12"/>
      <c r="B17" s="13"/>
      <c r="C17" s="13"/>
      <c r="D17" s="13"/>
      <c r="E17" s="13"/>
      <c r="F17" s="13"/>
      <c r="G17" s="13"/>
      <c r="H17" s="13"/>
      <c r="I17" s="12"/>
      <c r="J17" s="12"/>
      <c r="K17" s="12"/>
      <c r="L17" s="12"/>
      <c r="M17" s="12"/>
      <c r="N17" s="12"/>
      <c r="O17" s="12"/>
      <c r="P17" s="12"/>
      <c r="Q17" s="12"/>
      <c r="R17" s="12"/>
      <c r="S17" s="12"/>
      <c r="T17" s="12"/>
      <c r="U17" s="12"/>
      <c r="V17" s="12"/>
      <c r="W17" s="12"/>
      <c r="X17" s="12"/>
      <c r="Y17" s="12"/>
      <c r="Z17" s="12"/>
    </row>
    <row r="18" spans="1:26" x14ac:dyDescent="0.25">
      <c r="A18" s="12"/>
      <c r="B18" s="13"/>
      <c r="C18" s="13"/>
      <c r="D18" s="13"/>
      <c r="E18" s="13"/>
      <c r="F18" s="13"/>
      <c r="G18" s="13"/>
      <c r="H18" s="13"/>
      <c r="I18" s="12"/>
      <c r="J18" s="12"/>
      <c r="K18" s="12"/>
      <c r="L18" s="12"/>
      <c r="M18" s="12"/>
      <c r="N18" s="12"/>
      <c r="O18" s="12"/>
      <c r="P18" s="12"/>
      <c r="Q18" s="12"/>
      <c r="R18" s="12"/>
      <c r="S18" s="12"/>
      <c r="T18" s="12"/>
      <c r="U18" s="12"/>
      <c r="V18" s="12"/>
      <c r="W18" s="12"/>
      <c r="X18" s="12"/>
      <c r="Y18" s="12"/>
      <c r="Z18" s="12"/>
    </row>
    <row r="19" spans="1:26" x14ac:dyDescent="0.25">
      <c r="A19" s="12"/>
      <c r="B19" s="13"/>
      <c r="C19" s="13"/>
      <c r="D19" s="13"/>
      <c r="E19" s="13"/>
      <c r="F19" s="13"/>
      <c r="G19" s="13"/>
      <c r="H19" s="13"/>
      <c r="I19" s="12"/>
      <c r="J19" s="12"/>
      <c r="K19" s="12"/>
      <c r="L19" s="12"/>
      <c r="M19" s="12"/>
      <c r="N19" s="12"/>
      <c r="O19" s="12"/>
      <c r="P19" s="12"/>
      <c r="Q19" s="12"/>
      <c r="R19" s="12"/>
      <c r="S19" s="12"/>
      <c r="T19" s="12"/>
      <c r="U19" s="12"/>
      <c r="V19" s="12"/>
      <c r="W19" s="12"/>
      <c r="X19" s="12"/>
      <c r="Y19" s="12"/>
      <c r="Z19" s="12"/>
    </row>
    <row r="20" spans="1:26" x14ac:dyDescent="0.25">
      <c r="A20" s="12"/>
      <c r="B20" s="13"/>
      <c r="C20" s="13"/>
      <c r="D20" s="13"/>
      <c r="E20" s="13"/>
      <c r="F20" s="13"/>
      <c r="G20" s="13"/>
      <c r="H20" s="13"/>
      <c r="I20" s="12"/>
      <c r="J20" s="12"/>
      <c r="K20" s="12"/>
      <c r="L20" s="12"/>
      <c r="M20" s="12"/>
      <c r="N20" s="12"/>
      <c r="O20" s="12"/>
      <c r="P20" s="12"/>
      <c r="Q20" s="12"/>
      <c r="R20" s="12"/>
      <c r="S20" s="12"/>
      <c r="T20" s="12"/>
      <c r="U20" s="12"/>
      <c r="V20" s="12"/>
      <c r="W20" s="12"/>
      <c r="X20" s="12"/>
      <c r="Y20" s="12"/>
      <c r="Z20" s="12"/>
    </row>
    <row r="21" spans="1:26" x14ac:dyDescent="0.25">
      <c r="A21" s="12"/>
      <c r="B21" s="13"/>
      <c r="C21" s="13"/>
      <c r="D21" s="13"/>
      <c r="E21" s="13"/>
      <c r="F21" s="13"/>
      <c r="G21" s="13"/>
      <c r="H21" s="13"/>
      <c r="I21" s="12"/>
      <c r="J21" s="12"/>
      <c r="K21" s="12"/>
      <c r="L21" s="12"/>
      <c r="M21" s="12"/>
      <c r="N21" s="12"/>
      <c r="O21" s="12"/>
      <c r="P21" s="12"/>
      <c r="Q21" s="12"/>
      <c r="R21" s="12"/>
      <c r="S21" s="12"/>
      <c r="T21" s="12"/>
      <c r="U21" s="12"/>
      <c r="V21" s="12"/>
      <c r="W21" s="12"/>
      <c r="X21" s="12"/>
      <c r="Y21" s="12"/>
      <c r="Z21" s="12"/>
    </row>
    <row r="22" spans="1:26" x14ac:dyDescent="0.25">
      <c r="A22" s="12"/>
      <c r="B22" s="13"/>
      <c r="C22" s="13"/>
      <c r="D22" s="13"/>
      <c r="E22" s="13"/>
      <c r="F22" s="13"/>
      <c r="G22" s="13"/>
      <c r="H22" s="13"/>
      <c r="I22" s="12"/>
      <c r="J22" s="12"/>
      <c r="K22" s="12"/>
      <c r="L22" s="12"/>
      <c r="M22" s="12"/>
      <c r="N22" s="12"/>
      <c r="O22" s="12"/>
      <c r="P22" s="12"/>
      <c r="Q22" s="12"/>
      <c r="R22" s="12"/>
      <c r="S22" s="12"/>
      <c r="T22" s="12"/>
      <c r="U22" s="12"/>
      <c r="V22" s="12"/>
      <c r="W22" s="12"/>
      <c r="X22" s="12"/>
      <c r="Y22" s="12"/>
      <c r="Z22" s="12"/>
    </row>
    <row r="23" spans="1:26" x14ac:dyDescent="0.25">
      <c r="A23" s="12"/>
      <c r="B23" s="13"/>
      <c r="C23" s="13"/>
      <c r="D23" s="13"/>
      <c r="E23" s="13"/>
      <c r="F23" s="13"/>
      <c r="G23" s="13"/>
      <c r="H23" s="13"/>
      <c r="I23" s="12"/>
      <c r="J23" s="12"/>
      <c r="K23" s="12"/>
      <c r="L23" s="12"/>
      <c r="M23" s="12"/>
      <c r="N23" s="12"/>
      <c r="O23" s="12"/>
      <c r="P23" s="12"/>
      <c r="Q23" s="12"/>
      <c r="R23" s="12"/>
      <c r="S23" s="12"/>
      <c r="T23" s="12"/>
      <c r="U23" s="12"/>
      <c r="V23" s="12"/>
      <c r="W23" s="12"/>
      <c r="X23" s="12"/>
      <c r="Y23" s="12"/>
      <c r="Z23" s="12"/>
    </row>
    <row r="24" spans="1:26" x14ac:dyDescent="0.25">
      <c r="A24" s="12"/>
      <c r="B24" s="13"/>
      <c r="C24" s="13"/>
      <c r="D24" s="13"/>
      <c r="E24" s="13"/>
      <c r="F24" s="13"/>
      <c r="G24" s="13"/>
      <c r="H24" s="13"/>
      <c r="I24" s="12"/>
      <c r="J24" s="12"/>
      <c r="K24" s="12"/>
      <c r="L24" s="12"/>
      <c r="M24" s="12"/>
      <c r="N24" s="12"/>
      <c r="O24" s="12"/>
      <c r="P24" s="12"/>
      <c r="Q24" s="12"/>
      <c r="R24" s="12"/>
      <c r="S24" s="12"/>
      <c r="T24" s="12"/>
      <c r="U24" s="12"/>
      <c r="V24" s="12"/>
      <c r="W24" s="12"/>
      <c r="X24" s="12"/>
      <c r="Y24" s="12"/>
      <c r="Z24" s="12"/>
    </row>
    <row r="25" spans="1:26" x14ac:dyDescent="0.25">
      <c r="A25" s="12"/>
      <c r="B25" s="13"/>
      <c r="C25" s="13"/>
      <c r="D25" s="13"/>
      <c r="E25" s="13"/>
      <c r="F25" s="13"/>
      <c r="G25" s="13"/>
      <c r="H25" s="13"/>
      <c r="I25" s="12"/>
      <c r="J25" s="12"/>
      <c r="K25" s="12"/>
      <c r="L25" s="12"/>
      <c r="M25" s="12"/>
      <c r="N25" s="12"/>
      <c r="O25" s="12"/>
      <c r="P25" s="12"/>
      <c r="Q25" s="12"/>
      <c r="R25" s="12"/>
      <c r="S25" s="12"/>
      <c r="T25" s="12"/>
      <c r="U25" s="12"/>
      <c r="V25" s="12"/>
      <c r="W25" s="12"/>
      <c r="X25" s="12"/>
      <c r="Y25" s="12"/>
      <c r="Z25" s="12"/>
    </row>
    <row r="26" spans="1:26" x14ac:dyDescent="0.25">
      <c r="A26" s="12"/>
      <c r="B26" s="13"/>
      <c r="C26" s="13"/>
      <c r="D26" s="13"/>
      <c r="E26" s="13"/>
      <c r="F26" s="13"/>
      <c r="G26" s="13"/>
      <c r="H26" s="13"/>
      <c r="I26" s="12"/>
      <c r="J26" s="12"/>
      <c r="K26" s="12"/>
      <c r="L26" s="12"/>
      <c r="M26" s="12"/>
      <c r="N26" s="12"/>
      <c r="O26" s="12"/>
      <c r="P26" s="12"/>
      <c r="Q26" s="12"/>
      <c r="R26" s="12"/>
      <c r="S26" s="12"/>
      <c r="T26" s="12"/>
      <c r="U26" s="12"/>
      <c r="V26" s="12"/>
      <c r="W26" s="12"/>
      <c r="X26" s="12"/>
      <c r="Y26" s="12"/>
      <c r="Z26" s="12"/>
    </row>
    <row r="27" spans="1:26"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sheetData>
  <mergeCells count="3">
    <mergeCell ref="B6:E26"/>
    <mergeCell ref="F6:H26"/>
    <mergeCell ref="K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3</vt:lpstr>
      <vt:lpstr>calculation 3</vt:lpstr>
      <vt:lpstr>DASHBOARD 3</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SITHPC-11</dc:creator>
  <cp:lastModifiedBy>SITHPC-11</cp:lastModifiedBy>
  <dcterms:created xsi:type="dcterms:W3CDTF">2026-03-11T07:23:49Z</dcterms:created>
  <dcterms:modified xsi:type="dcterms:W3CDTF">2026-03-11T07:27:11Z</dcterms:modified>
</cp:coreProperties>
</file>